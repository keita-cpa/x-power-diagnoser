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pafirmxyz.sharepoint.com/sites/FDS/Shared Documents/20_Operational/25年12月期/計算書類/"/>
    </mc:Choice>
  </mc:AlternateContent>
  <xr:revisionPtr revIDLastSave="5" documentId="13_ncr:1_{2E0E31F5-D76C-42E4-80E8-6EDCF1387D60}" xr6:coauthVersionLast="47" xr6:coauthVersionMax="47" xr10:uidLastSave="{D44200D7-A57D-41B1-A468-5611257AC5DF}"/>
  <bookViews>
    <workbookView xWindow="-120" yWindow="-120" windowWidth="29040" windowHeight="17520" tabRatio="953" activeTab="1" xr2:uid="{00000000-000D-0000-FFFF-FFFF00000000}"/>
  </bookViews>
  <sheets>
    <sheet name="表紙" sheetId="9" r:id="rId1"/>
    <sheet name="BS（千円）" sheetId="15" r:id="rId2"/>
    <sheet name="PL（千円）" sheetId="16" r:id="rId3"/>
    <sheet name="SS（千円）横型" sheetId="21" r:id="rId4"/>
    <sheet name="BS（円）" sheetId="14" r:id="rId5"/>
    <sheet name="PL（円）" sheetId="10" r:id="rId6"/>
    <sheet name="SS（円）横型" sheetId="20" r:id="rId7"/>
    <sheet name="期中平均株式数" sheetId="12" r:id="rId8"/>
    <sheet name="BS（円）銀行説明用" sheetId="18" r:id="rId9"/>
    <sheet name="PL（円）銀行説明用" sheetId="19" r:id="rId10"/>
    <sheet name="SS（千円）" sheetId="17" r:id="rId11"/>
    <sheet name="SS（円）" sheetId="7" r:id="rId12"/>
  </sheets>
  <externalReferences>
    <externalReference r:id="rId13"/>
  </externalReferences>
  <definedNames>
    <definedName name="_xlnm.Database" localSheetId="4">#REF!</definedName>
    <definedName name="_xlnm.Database" localSheetId="8">#REF!</definedName>
    <definedName name="_xlnm.Database" localSheetId="1">#REF!</definedName>
    <definedName name="_xlnm.Database">#REF!</definedName>
    <definedName name="_xlnm.Print_Area" localSheetId="4">'BS（円）'!$A$1:$O$41</definedName>
    <definedName name="_xlnm.Print_Area" localSheetId="8">'BS（円）銀行説明用'!$A$1:$O$39</definedName>
    <definedName name="_xlnm.Print_Area" localSheetId="1">'BS（千円）'!$B$1:$O$35</definedName>
    <definedName name="_xlnm.Print_Area" localSheetId="5">'PL（円）'!$B$1:$H$28</definedName>
    <definedName name="_xlnm.Print_Area" localSheetId="9">'PL（円）銀行説明用'!$B$1:$H$30</definedName>
    <definedName name="_xlnm.Print_Area" localSheetId="2">'PL（千円）'!$B$1:$H$30</definedName>
    <definedName name="_xlnm.Print_Area" localSheetId="11">'SS（円）'!$B$1:$I$25</definedName>
    <definedName name="_xlnm.Print_Area" localSheetId="6">'SS（円）横型'!$B$1:$J$15</definedName>
    <definedName name="_xlnm.Print_Area" localSheetId="10">'SS（千円）'!$B$1:$I$25</definedName>
    <definedName name="_xlnm.Print_Area" localSheetId="3">'SS（千円）横型'!$C$1:$J$14</definedName>
    <definedName name="_xlnm.Print_Area" localSheetId="0">表紙!$B$1:$H$28</definedName>
    <definedName name="流動資産_千円" localSheetId="4">[1]集計00!#REF!</definedName>
    <definedName name="流動資産_千円" localSheetId="8">[1]集計00!#REF!</definedName>
    <definedName name="流動資産_千円" localSheetId="1">[1]集計00!#REF!</definedName>
    <definedName name="流動資産_千円">[1]集計00!#REF!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8" l="1"/>
  <c r="J20" i="20"/>
  <c r="J23" i="20"/>
  <c r="J26" i="20"/>
  <c r="J28" i="20" s="1"/>
  <c r="J29" i="20"/>
  <c r="J32" i="20"/>
  <c r="J35" i="20"/>
  <c r="G8" i="14"/>
  <c r="S26" i="14"/>
  <c r="R26" i="14"/>
  <c r="Q26" i="14"/>
  <c r="O23" i="14"/>
  <c r="O8" i="14"/>
  <c r="G7" i="14"/>
  <c r="I15" i="7"/>
  <c r="I15" i="17" s="1"/>
  <c r="I13" i="7"/>
  <c r="G10" i="20"/>
  <c r="F10" i="20"/>
  <c r="I10" i="7" s="1"/>
  <c r="D12" i="21"/>
  <c r="D11" i="21"/>
  <c r="E12" i="21"/>
  <c r="F12" i="21"/>
  <c r="G12" i="21"/>
  <c r="G12" i="20"/>
  <c r="H12" i="20" s="1"/>
  <c r="I12" i="20" s="1"/>
  <c r="J12" i="20" s="1"/>
  <c r="J14" i="20" s="1"/>
  <c r="H13" i="20"/>
  <c r="H12" i="21" s="1"/>
  <c r="I13" i="20"/>
  <c r="I12" i="21" s="1"/>
  <c r="J13" i="20"/>
  <c r="J12" i="21" s="1"/>
  <c r="F14" i="20"/>
  <c r="E14" i="20"/>
  <c r="E10" i="20"/>
  <c r="I14" i="20" l="1"/>
  <c r="J30" i="20"/>
  <c r="E15" i="20"/>
  <c r="J31" i="20" l="1"/>
  <c r="J33" i="20"/>
  <c r="B3" i="7"/>
  <c r="B3" i="19"/>
  <c r="B3" i="10" s="1"/>
  <c r="B3" i="14"/>
  <c r="B3" i="18"/>
  <c r="B15" i="12"/>
  <c r="O24" i="14"/>
  <c r="O10" i="14"/>
  <c r="O9" i="14"/>
  <c r="J34" i="20" l="1"/>
  <c r="J36" i="20"/>
  <c r="J37" i="20" s="1"/>
  <c r="O16" i="15" l="1"/>
  <c r="O17" i="15"/>
  <c r="O20" i="15"/>
  <c r="O19" i="15"/>
  <c r="O15" i="15"/>
  <c r="O14" i="15"/>
  <c r="O13" i="15"/>
  <c r="O12" i="15"/>
  <c r="O11" i="15"/>
  <c r="O10" i="15"/>
  <c r="O9" i="15"/>
  <c r="O8" i="15"/>
  <c r="G17" i="15" l="1"/>
  <c r="O24" i="18"/>
  <c r="O23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G17" i="18"/>
  <c r="G34" i="15"/>
  <c r="G33" i="15"/>
  <c r="G32" i="15"/>
  <c r="G31" i="15"/>
  <c r="G30" i="15"/>
  <c r="G38" i="18"/>
  <c r="G37" i="18"/>
  <c r="G36" i="18"/>
  <c r="G35" i="18"/>
  <c r="G34" i="18"/>
  <c r="F11" i="21" l="1"/>
  <c r="E11" i="21"/>
  <c r="G9" i="21"/>
  <c r="F9" i="21"/>
  <c r="E9" i="21"/>
  <c r="H10" i="20"/>
  <c r="I10" i="20" s="1"/>
  <c r="F13" i="21"/>
  <c r="E13" i="21"/>
  <c r="G29" i="19"/>
  <c r="H28" i="19"/>
  <c r="G26" i="19"/>
  <c r="G24" i="19"/>
  <c r="G21" i="19"/>
  <c r="G19" i="19"/>
  <c r="G18" i="19"/>
  <c r="G17" i="19"/>
  <c r="H14" i="19"/>
  <c r="G12" i="19"/>
  <c r="G11" i="19"/>
  <c r="G9" i="19"/>
  <c r="G8" i="19"/>
  <c r="H6" i="19"/>
  <c r="G20" i="18"/>
  <c r="E14" i="21" l="1"/>
  <c r="F15" i="20"/>
  <c r="F14" i="21" s="1"/>
  <c r="I9" i="21"/>
  <c r="J10" i="20"/>
  <c r="H9" i="21"/>
  <c r="J9" i="21" l="1"/>
  <c r="J15" i="20"/>
  <c r="G19" i="18"/>
  <c r="G18" i="18"/>
  <c r="G32" i="18"/>
  <c r="O32" i="18"/>
  <c r="G31" i="18"/>
  <c r="O30" i="18"/>
  <c r="O28" i="18"/>
  <c r="G28" i="18"/>
  <c r="G27" i="18"/>
  <c r="G26" i="18"/>
  <c r="G25" i="18"/>
  <c r="G24" i="18"/>
  <c r="G16" i="18"/>
  <c r="G15" i="18"/>
  <c r="G14" i="18"/>
  <c r="G13" i="18"/>
  <c r="G12" i="18"/>
  <c r="G11" i="18"/>
  <c r="G10" i="18"/>
  <c r="G9" i="18"/>
  <c r="G8" i="18"/>
  <c r="H28" i="16"/>
  <c r="I13" i="17"/>
  <c r="I10" i="17"/>
  <c r="I7" i="17"/>
  <c r="I17" i="7"/>
  <c r="I20" i="7" s="1"/>
  <c r="I11" i="7"/>
  <c r="I11" i="17" s="1"/>
  <c r="G29" i="16"/>
  <c r="G26" i="16"/>
  <c r="G24" i="16"/>
  <c r="G21" i="16"/>
  <c r="G19" i="16"/>
  <c r="G18" i="16"/>
  <c r="G17" i="16"/>
  <c r="H14" i="16"/>
  <c r="G12" i="16"/>
  <c r="G11" i="16"/>
  <c r="G9" i="16"/>
  <c r="G8" i="16"/>
  <c r="H6" i="16"/>
  <c r="H24" i="10"/>
  <c r="H24" i="19"/>
  <c r="H27" i="10"/>
  <c r="H21" i="10"/>
  <c r="H21" i="19" s="1"/>
  <c r="H19" i="10"/>
  <c r="O28" i="15"/>
  <c r="O26" i="15"/>
  <c r="O24" i="15"/>
  <c r="G16" i="15"/>
  <c r="G15" i="15"/>
  <c r="G14" i="15"/>
  <c r="G13" i="15"/>
  <c r="G28" i="15"/>
  <c r="G27" i="15"/>
  <c r="G25" i="15"/>
  <c r="G24" i="15"/>
  <c r="G23" i="15"/>
  <c r="G22" i="15"/>
  <c r="G21" i="15"/>
  <c r="G20" i="15"/>
  <c r="G12" i="15"/>
  <c r="G11" i="15"/>
  <c r="G10" i="15"/>
  <c r="G9" i="15"/>
  <c r="G8" i="15"/>
  <c r="O7" i="14"/>
  <c r="O37" i="14"/>
  <c r="O31" i="18" s="1"/>
  <c r="O22" i="14"/>
  <c r="G23" i="14"/>
  <c r="G7" i="18"/>
  <c r="G32" i="14"/>
  <c r="G26" i="15" s="1"/>
  <c r="G35" i="14"/>
  <c r="G33" i="18" s="1"/>
  <c r="H26" i="19" l="1"/>
  <c r="H24" i="16"/>
  <c r="O18" i="15"/>
  <c r="O22" i="18"/>
  <c r="O7" i="15"/>
  <c r="O7" i="18"/>
  <c r="O29" i="18"/>
  <c r="O27" i="18"/>
  <c r="I23" i="7"/>
  <c r="I23" i="17" s="1"/>
  <c r="I20" i="17"/>
  <c r="I17" i="17"/>
  <c r="H29" i="16"/>
  <c r="H29" i="19"/>
  <c r="H26" i="16"/>
  <c r="H21" i="16"/>
  <c r="H19" i="16"/>
  <c r="H19" i="19"/>
  <c r="O31" i="14"/>
  <c r="G29" i="15"/>
  <c r="O27" i="15"/>
  <c r="O25" i="15" s="1"/>
  <c r="O23" i="15" s="1"/>
  <c r="O35" i="14"/>
  <c r="O33" i="14" s="1"/>
  <c r="O40" i="14" s="1"/>
  <c r="G30" i="18"/>
  <c r="G22" i="14"/>
  <c r="G22" i="18" s="1"/>
  <c r="G23" i="18"/>
  <c r="G19" i="15"/>
  <c r="G7" i="15"/>
  <c r="O25" i="18" l="1"/>
  <c r="O21" i="15"/>
  <c r="O41" i="14"/>
  <c r="O39" i="18" s="1"/>
  <c r="B17" i="12"/>
  <c r="G18" i="15"/>
  <c r="G41" i="14"/>
  <c r="G35" i="15" s="1"/>
  <c r="O38" i="18"/>
  <c r="O34" i="15"/>
  <c r="I8" i="7"/>
  <c r="I8" i="17" s="1"/>
  <c r="G10" i="10"/>
  <c r="O35" i="15" l="1"/>
  <c r="G10" i="19"/>
  <c r="G10" i="16"/>
  <c r="G39" i="18"/>
  <c r="H12" i="10"/>
  <c r="H13" i="10" l="1"/>
  <c r="H15" i="10" s="1"/>
  <c r="H15" i="19" s="1"/>
  <c r="H12" i="19"/>
  <c r="H12" i="16"/>
  <c r="H13" i="16" l="1"/>
  <c r="H13" i="19"/>
  <c r="H22" i="10"/>
  <c r="H15" i="16"/>
  <c r="H22" i="19" l="1"/>
  <c r="H25" i="10"/>
  <c r="H28" i="10"/>
  <c r="H22" i="16"/>
  <c r="H27" i="19" l="1"/>
  <c r="H27" i="16"/>
  <c r="H30" i="19"/>
  <c r="G14" i="20"/>
  <c r="B18" i="12"/>
  <c r="H30" i="16"/>
  <c r="I14" i="7"/>
  <c r="I16" i="7" s="1"/>
  <c r="G11" i="21" l="1"/>
  <c r="H14" i="20"/>
  <c r="I18" i="7" s="1"/>
  <c r="I14" i="17"/>
  <c r="I16" i="17"/>
  <c r="G15" i="20" l="1"/>
  <c r="G14" i="21" s="1"/>
  <c r="G13" i="21"/>
  <c r="H11" i="21"/>
  <c r="I18" i="17"/>
  <c r="I21" i="7"/>
  <c r="I19" i="7"/>
  <c r="I19" i="17" s="1"/>
  <c r="H15" i="20" l="1"/>
  <c r="H14" i="21" s="1"/>
  <c r="H13" i="21"/>
  <c r="I11" i="21"/>
  <c r="I24" i="7"/>
  <c r="I21" i="17"/>
  <c r="I22" i="7"/>
  <c r="I22" i="17" s="1"/>
  <c r="I13" i="21" l="1"/>
  <c r="I15" i="20"/>
  <c r="I14" i="21" s="1"/>
  <c r="J11" i="21"/>
  <c r="I24" i="17"/>
  <c r="I25" i="7"/>
  <c r="I25" i="17" s="1"/>
  <c r="J13" i="21" l="1"/>
  <c r="J1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YOTA KUWANO</author>
  </authors>
  <commentList>
    <comment ref="G8" authorId="0" shapeId="0" xr:uid="{A27EAAEA-05FA-4B25-8107-9D8F6DFFFC70}">
      <text>
        <r>
          <rPr>
            <b/>
            <sz val="9"/>
            <color indexed="81"/>
            <rFont val="MS P ゴシック"/>
            <family val="3"/>
            <charset val="128"/>
          </rPr>
          <t>預金に含まれる投資有価証券を科目振替</t>
        </r>
      </text>
    </comment>
  </commentList>
</comments>
</file>

<file path=xl/sharedStrings.xml><?xml version="1.0" encoding="utf-8"?>
<sst xmlns="http://schemas.openxmlformats.org/spreadsheetml/2006/main" count="439" uniqueCount="160">
  <si>
    <t>決　算　報　告　書</t>
    <rPh sb="0" eb="1">
      <t>ケッ</t>
    </rPh>
    <rPh sb="2" eb="3">
      <t>サン</t>
    </rPh>
    <rPh sb="4" eb="5">
      <t>ホウ</t>
    </rPh>
    <rPh sb="6" eb="7">
      <t>コク</t>
    </rPh>
    <rPh sb="8" eb="9">
      <t>ショ</t>
    </rPh>
    <phoneticPr fontId="20"/>
  </si>
  <si>
    <t>大阪市中央区徳井町２丁目４番８号</t>
    <rPh sb="0" eb="3">
      <t>オオサカシ</t>
    </rPh>
    <rPh sb="3" eb="6">
      <t>チュウオウク</t>
    </rPh>
    <rPh sb="6" eb="9">
      <t>トクイチョウ</t>
    </rPh>
    <rPh sb="10" eb="12">
      <t>チョウメ</t>
    </rPh>
    <rPh sb="13" eb="14">
      <t>バン</t>
    </rPh>
    <rPh sb="15" eb="16">
      <t>ゴウ</t>
    </rPh>
    <phoneticPr fontId="29"/>
  </si>
  <si>
    <t>貸　借　対　照　表</t>
  </si>
  <si>
    <t>株式会社　ＦＤＳ</t>
    <rPh sb="0" eb="2">
      <t>カブシキ</t>
    </rPh>
    <rPh sb="2" eb="4">
      <t>カイシャ</t>
    </rPh>
    <phoneticPr fontId="20"/>
  </si>
  <si>
    <t>(単位：千円)</t>
    <rPh sb="4" eb="5">
      <t>セン</t>
    </rPh>
    <phoneticPr fontId="29"/>
  </si>
  <si>
    <t>資産の部</t>
    <phoneticPr fontId="29"/>
  </si>
  <si>
    <t>負債の部</t>
    <phoneticPr fontId="29"/>
  </si>
  <si>
    <t>科目</t>
    <phoneticPr fontId="20"/>
  </si>
  <si>
    <t>金額</t>
    <phoneticPr fontId="20"/>
  </si>
  <si>
    <t>流動資産</t>
  </si>
  <si>
    <t>流動負債</t>
  </si>
  <si>
    <t>現金及び預金</t>
  </si>
  <si>
    <t>短期借入金</t>
    <rPh sb="0" eb="2">
      <t>タンキ</t>
    </rPh>
    <rPh sb="2" eb="4">
      <t>カリイレ</t>
    </rPh>
    <rPh sb="4" eb="5">
      <t>キン</t>
    </rPh>
    <phoneticPr fontId="29"/>
  </si>
  <si>
    <t>商品</t>
  </si>
  <si>
    <t>１年内償還予定の社債</t>
    <rPh sb="1" eb="3">
      <t>ネンナイ</t>
    </rPh>
    <rPh sb="3" eb="5">
      <t>ショウカン</t>
    </rPh>
    <rPh sb="5" eb="7">
      <t>ヨテイ</t>
    </rPh>
    <rPh sb="8" eb="10">
      <t>シャサイ</t>
    </rPh>
    <phoneticPr fontId="29"/>
  </si>
  <si>
    <t>仕掛品</t>
    <rPh sb="0" eb="3">
      <t>シカカリヒン</t>
    </rPh>
    <phoneticPr fontId="29"/>
  </si>
  <si>
    <t>１年内返済予定の長期借入金</t>
    <rPh sb="1" eb="3">
      <t>ネンナイ</t>
    </rPh>
    <rPh sb="3" eb="5">
      <t>ヘンサイ</t>
    </rPh>
    <rPh sb="5" eb="7">
      <t>ヨテイ</t>
    </rPh>
    <rPh sb="8" eb="10">
      <t>チョウキ</t>
    </rPh>
    <rPh sb="10" eb="12">
      <t>カリイレ</t>
    </rPh>
    <rPh sb="12" eb="13">
      <t>キン</t>
    </rPh>
    <phoneticPr fontId="29"/>
  </si>
  <si>
    <t>貯蔵品</t>
  </si>
  <si>
    <t>未払金</t>
    <rPh sb="0" eb="3">
      <t>ミバライキン</t>
    </rPh>
    <phoneticPr fontId="29"/>
  </si>
  <si>
    <t>前渡金</t>
  </si>
  <si>
    <t>未払費用</t>
    <rPh sb="0" eb="2">
      <t>ミバライ</t>
    </rPh>
    <rPh sb="2" eb="4">
      <t>ヒヨウ</t>
    </rPh>
    <phoneticPr fontId="29"/>
  </si>
  <si>
    <t>立替金</t>
    <rPh sb="0" eb="3">
      <t>タテカエキン</t>
    </rPh>
    <phoneticPr fontId="29"/>
  </si>
  <si>
    <t>未払法人税等</t>
    <rPh sb="0" eb="5">
      <t>ミバライホウジンゼイ</t>
    </rPh>
    <rPh sb="5" eb="6">
      <t>トウ</t>
    </rPh>
    <phoneticPr fontId="29"/>
  </si>
  <si>
    <t>前払費用</t>
  </si>
  <si>
    <t>未払消費税等</t>
    <rPh sb="0" eb="6">
      <t>ミバライショウヒゼイトウ</t>
    </rPh>
    <phoneticPr fontId="29"/>
  </si>
  <si>
    <t>短期貸付金</t>
    <rPh sb="0" eb="5">
      <t>タンキカシツケキン</t>
    </rPh>
    <phoneticPr fontId="29"/>
  </si>
  <si>
    <t>前受金</t>
    <rPh sb="0" eb="3">
      <t>マエウケキン</t>
    </rPh>
    <phoneticPr fontId="29"/>
  </si>
  <si>
    <t>未収入金</t>
    <rPh sb="0" eb="2">
      <t>ミシュウ</t>
    </rPh>
    <rPh sb="2" eb="4">
      <t>ニュウキン</t>
    </rPh>
    <phoneticPr fontId="29"/>
  </si>
  <si>
    <t>前受収益</t>
    <rPh sb="0" eb="4">
      <t>マエウケシュウエキ</t>
    </rPh>
    <phoneticPr fontId="29"/>
  </si>
  <si>
    <t>その他</t>
    <rPh sb="2" eb="3">
      <t>タ</t>
    </rPh>
    <phoneticPr fontId="29"/>
  </si>
  <si>
    <t>固定資産</t>
  </si>
  <si>
    <t>固定負債</t>
    <rPh sb="0" eb="2">
      <t>コテイ</t>
    </rPh>
    <phoneticPr fontId="29"/>
  </si>
  <si>
    <t>有形固定資産</t>
  </si>
  <si>
    <t>社債</t>
    <rPh sb="0" eb="2">
      <t>シャサイ</t>
    </rPh>
    <phoneticPr fontId="29"/>
  </si>
  <si>
    <t>建物</t>
  </si>
  <si>
    <t>長期借入金</t>
    <rPh sb="0" eb="5">
      <t>チョウキカリイレキン</t>
    </rPh>
    <phoneticPr fontId="29"/>
  </si>
  <si>
    <t>建物附属設備</t>
    <rPh sb="0" eb="2">
      <t>タテモノ</t>
    </rPh>
    <phoneticPr fontId="29"/>
  </si>
  <si>
    <t>負債合計</t>
    <rPh sb="0" eb="2">
      <t>フサイ</t>
    </rPh>
    <rPh sb="2" eb="4">
      <t>ゴウケイ</t>
    </rPh>
    <phoneticPr fontId="20"/>
  </si>
  <si>
    <t>構築物</t>
  </si>
  <si>
    <t>純資産の部</t>
    <rPh sb="0" eb="3">
      <t>ジュンシサン</t>
    </rPh>
    <phoneticPr fontId="20"/>
  </si>
  <si>
    <t>車両運搬具</t>
  </si>
  <si>
    <t>株主資本</t>
    <rPh sb="0" eb="2">
      <t>カブヌシ</t>
    </rPh>
    <rPh sb="2" eb="4">
      <t>シホン</t>
    </rPh>
    <phoneticPr fontId="20"/>
  </si>
  <si>
    <t>工具器具備品</t>
  </si>
  <si>
    <t>資本金</t>
    <rPh sb="0" eb="3">
      <t>シホンキン</t>
    </rPh>
    <phoneticPr fontId="20"/>
  </si>
  <si>
    <t>土地</t>
  </si>
  <si>
    <t>利益剰余金</t>
    <rPh sb="0" eb="1">
      <t>リ</t>
    </rPh>
    <rPh sb="1" eb="2">
      <t>エキ</t>
    </rPh>
    <rPh sb="2" eb="3">
      <t>アマツサ</t>
    </rPh>
    <rPh sb="3" eb="4">
      <t>ヨ</t>
    </rPh>
    <rPh sb="4" eb="5">
      <t>キン</t>
    </rPh>
    <phoneticPr fontId="20"/>
  </si>
  <si>
    <t>利益準備金</t>
    <rPh sb="0" eb="2">
      <t>リエキ</t>
    </rPh>
    <rPh sb="2" eb="5">
      <t>ジュンビキン</t>
    </rPh>
    <phoneticPr fontId="20"/>
  </si>
  <si>
    <t>無形固定資産</t>
  </si>
  <si>
    <t>その他利益剰余金</t>
    <rPh sb="2" eb="8">
      <t>タリエキジョウヨキン</t>
    </rPh>
    <phoneticPr fontId="20"/>
  </si>
  <si>
    <t>ソフトウェア</t>
    <phoneticPr fontId="29"/>
  </si>
  <si>
    <t>繰越利益剰余金</t>
    <rPh sb="0" eb="7">
      <t>クリコシリエキジョウヨキン</t>
    </rPh>
    <phoneticPr fontId="29"/>
  </si>
  <si>
    <t>電話加入権</t>
    <rPh sb="0" eb="5">
      <t>デンワカニュウケン</t>
    </rPh>
    <phoneticPr fontId="29"/>
  </si>
  <si>
    <t>投資その他の資産</t>
    <rPh sb="4" eb="5">
      <t>タ</t>
    </rPh>
    <rPh sb="6" eb="8">
      <t>シサン</t>
    </rPh>
    <phoneticPr fontId="20"/>
  </si>
  <si>
    <t>投資有価証券</t>
    <rPh sb="0" eb="6">
      <t>トウシユウカショウケン</t>
    </rPh>
    <phoneticPr fontId="29"/>
  </si>
  <si>
    <t>出資金</t>
  </si>
  <si>
    <t>差入保証金</t>
  </si>
  <si>
    <t>長期前払費用</t>
  </si>
  <si>
    <t>純資産合計</t>
    <rPh sb="0" eb="3">
      <t>ジュンシサン</t>
    </rPh>
    <phoneticPr fontId="20"/>
  </si>
  <si>
    <t>資産合計</t>
    <phoneticPr fontId="20"/>
  </si>
  <si>
    <t>負債・純資産合計</t>
    <rPh sb="3" eb="6">
      <t>ジュンシサン</t>
    </rPh>
    <phoneticPr fontId="20"/>
  </si>
  <si>
    <t>(単位：円)</t>
    <phoneticPr fontId="29"/>
  </si>
  <si>
    <t>仕掛品（商品）</t>
    <rPh sb="0" eb="2">
      <t>シカカリ</t>
    </rPh>
    <rPh sb="2" eb="3">
      <t>ヒン</t>
    </rPh>
    <rPh sb="4" eb="6">
      <t>ショウヒン</t>
    </rPh>
    <phoneticPr fontId="29"/>
  </si>
  <si>
    <t>未払費用</t>
    <rPh sb="0" eb="4">
      <t>ミバライヒヨウ</t>
    </rPh>
    <phoneticPr fontId="29"/>
  </si>
  <si>
    <t>未払法人税等</t>
    <rPh sb="0" eb="2">
      <t>ミバラ</t>
    </rPh>
    <rPh sb="2" eb="6">
      <t>ホウジンゼイトウ</t>
    </rPh>
    <phoneticPr fontId="29"/>
  </si>
  <si>
    <t>預り金</t>
    <rPh sb="0" eb="1">
      <t>アズカ</t>
    </rPh>
    <rPh sb="2" eb="3">
      <t>キン</t>
    </rPh>
    <phoneticPr fontId="29"/>
  </si>
  <si>
    <t>その他（未収収益）</t>
    <rPh sb="2" eb="3">
      <t>タ</t>
    </rPh>
    <rPh sb="4" eb="8">
      <t>ミシュウシュウエキ</t>
    </rPh>
    <phoneticPr fontId="29"/>
  </si>
  <si>
    <t>その他（仮払金）</t>
    <rPh sb="2" eb="3">
      <t>タ</t>
    </rPh>
    <rPh sb="4" eb="7">
      <t>カリバライキン</t>
    </rPh>
    <phoneticPr fontId="29"/>
  </si>
  <si>
    <t>仮受金</t>
    <rPh sb="0" eb="3">
      <t>カリウケキン</t>
    </rPh>
    <phoneticPr fontId="29"/>
  </si>
  <si>
    <t>その他（預け金）</t>
    <rPh sb="2" eb="3">
      <t>タ</t>
    </rPh>
    <rPh sb="4" eb="5">
      <t>アズ</t>
    </rPh>
    <rPh sb="6" eb="7">
      <t>キン</t>
    </rPh>
    <phoneticPr fontId="29"/>
  </si>
  <si>
    <t>預り保証金</t>
    <rPh sb="0" eb="1">
      <t>アズカ</t>
    </rPh>
    <rPh sb="2" eb="5">
      <t>ホショウキン</t>
    </rPh>
    <phoneticPr fontId="29"/>
  </si>
  <si>
    <t>その他（仮払税金）</t>
    <rPh sb="2" eb="3">
      <t>タ</t>
    </rPh>
    <rPh sb="4" eb="8">
      <t>カリバライゼイキン</t>
    </rPh>
    <phoneticPr fontId="29"/>
  </si>
  <si>
    <t>その他（入会金）</t>
    <rPh sb="2" eb="3">
      <t>タ</t>
    </rPh>
    <rPh sb="4" eb="7">
      <t>ニュウカイキン</t>
    </rPh>
    <phoneticPr fontId="29"/>
  </si>
  <si>
    <t>(資産の部)</t>
  </si>
  <si>
    <t>(負債の部)</t>
  </si>
  <si>
    <t>確認状調書参照</t>
    <rPh sb="0" eb="5">
      <t>カクニンジョウチョウショ</t>
    </rPh>
    <rPh sb="5" eb="7">
      <t>サンショウ</t>
    </rPh>
    <phoneticPr fontId="29"/>
  </si>
  <si>
    <t>商品建築中</t>
  </si>
  <si>
    <t>立替金</t>
  </si>
  <si>
    <t>未収収益</t>
  </si>
  <si>
    <t>短期貸付金</t>
  </si>
  <si>
    <t>未収入金</t>
  </si>
  <si>
    <t>仮払金</t>
    <phoneticPr fontId="29"/>
  </si>
  <si>
    <t>預け金</t>
  </si>
  <si>
    <t>仮払税金(売買関連)</t>
  </si>
  <si>
    <t>附属設備</t>
  </si>
  <si>
    <t>一括償却資産</t>
  </si>
  <si>
    <t>(純資産の部)</t>
    <rPh sb="1" eb="4">
      <t>ジュンシサン</t>
    </rPh>
    <phoneticPr fontId="20"/>
  </si>
  <si>
    <t>入会金</t>
  </si>
  <si>
    <t>損  益  計  算  書</t>
    <phoneticPr fontId="20"/>
  </si>
  <si>
    <t>(単位：千円)</t>
    <rPh sb="4" eb="6">
      <t>センエン</t>
    </rPh>
    <phoneticPr fontId="20"/>
  </si>
  <si>
    <t>売上高</t>
  </si>
  <si>
    <t>売上原価</t>
  </si>
  <si>
    <t>期首商品棚卸高</t>
    <rPh sb="0" eb="2">
      <t>キシュ</t>
    </rPh>
    <rPh sb="2" eb="4">
      <t>ショウヒン</t>
    </rPh>
    <rPh sb="4" eb="6">
      <t>タナオロシ</t>
    </rPh>
    <rPh sb="6" eb="7">
      <t>タカ</t>
    </rPh>
    <phoneticPr fontId="20"/>
  </si>
  <si>
    <t>当期商品仕入高</t>
    <rPh sb="0" eb="2">
      <t>トウキ</t>
    </rPh>
    <rPh sb="2" eb="4">
      <t>ショウヒン</t>
    </rPh>
    <rPh sb="4" eb="6">
      <t>シイレ</t>
    </rPh>
    <rPh sb="6" eb="7">
      <t>ダカ</t>
    </rPh>
    <phoneticPr fontId="20"/>
  </si>
  <si>
    <t>合計</t>
    <rPh sb="0" eb="2">
      <t>ゴウケイ</t>
    </rPh>
    <phoneticPr fontId="20"/>
  </si>
  <si>
    <t>他勘定振替高</t>
    <rPh sb="0" eb="1">
      <t>タ</t>
    </rPh>
    <rPh sb="1" eb="3">
      <t>カンジョウ</t>
    </rPh>
    <rPh sb="3" eb="5">
      <t>フリカエ</t>
    </rPh>
    <rPh sb="5" eb="6">
      <t>ダカ</t>
    </rPh>
    <phoneticPr fontId="29"/>
  </si>
  <si>
    <t>期末商品棚卸高</t>
    <rPh sb="0" eb="2">
      <t>キマツ</t>
    </rPh>
    <rPh sb="2" eb="4">
      <t>ショウヒン</t>
    </rPh>
    <rPh sb="4" eb="6">
      <t>タナオロシ</t>
    </rPh>
    <rPh sb="6" eb="7">
      <t>ダカ</t>
    </rPh>
    <phoneticPr fontId="20"/>
  </si>
  <si>
    <t>売上総利益</t>
    <rPh sb="0" eb="2">
      <t>ウリアゲ</t>
    </rPh>
    <rPh sb="2" eb="3">
      <t>ソウ</t>
    </rPh>
    <rPh sb="3" eb="5">
      <t>リエキ</t>
    </rPh>
    <phoneticPr fontId="20"/>
  </si>
  <si>
    <t>販売費及び一般管理費</t>
  </si>
  <si>
    <t>営業利益</t>
    <rPh sb="2" eb="4">
      <t>リエキ</t>
    </rPh>
    <phoneticPr fontId="20"/>
  </si>
  <si>
    <t>営業外収益</t>
  </si>
  <si>
    <t>受取利息</t>
    <phoneticPr fontId="20"/>
  </si>
  <si>
    <t>受取配当金</t>
    <rPh sb="0" eb="2">
      <t>ウケト</t>
    </rPh>
    <rPh sb="2" eb="5">
      <t>ハイトウキン</t>
    </rPh>
    <phoneticPr fontId="20"/>
  </si>
  <si>
    <t>雑収入</t>
    <rPh sb="0" eb="3">
      <t>ザツシュウニュウ</t>
    </rPh>
    <phoneticPr fontId="20"/>
  </si>
  <si>
    <t>営業外費用</t>
  </si>
  <si>
    <t>支払利息</t>
    <rPh sb="0" eb="2">
      <t>シハラ</t>
    </rPh>
    <rPh sb="2" eb="4">
      <t>リソク</t>
    </rPh>
    <phoneticPr fontId="20"/>
  </si>
  <si>
    <t>経常利益</t>
    <rPh sb="2" eb="4">
      <t>リエキ</t>
    </rPh>
    <phoneticPr fontId="20"/>
  </si>
  <si>
    <t>特別利益</t>
  </si>
  <si>
    <t>固定資産売却益</t>
  </si>
  <si>
    <t>特別損失</t>
    <rPh sb="2" eb="4">
      <t>ソンシツ</t>
    </rPh>
    <phoneticPr fontId="29"/>
  </si>
  <si>
    <t>税引前当期純利益</t>
    <rPh sb="3" eb="5">
      <t>トウキ</t>
    </rPh>
    <rPh sb="5" eb="6">
      <t>ジュン</t>
    </rPh>
    <rPh sb="6" eb="8">
      <t>リエキ</t>
    </rPh>
    <phoneticPr fontId="20"/>
  </si>
  <si>
    <t>法人税、住民税及び事業税</t>
  </si>
  <si>
    <t>法人税等調整額</t>
    <rPh sb="0" eb="3">
      <t>ホウジンゼイ</t>
    </rPh>
    <rPh sb="3" eb="4">
      <t>トウ</t>
    </rPh>
    <rPh sb="4" eb="6">
      <t>チョウセイ</t>
    </rPh>
    <rPh sb="6" eb="7">
      <t>ガク</t>
    </rPh>
    <phoneticPr fontId="29"/>
  </si>
  <si>
    <t>当期純利益</t>
    <rPh sb="0" eb="2">
      <t>トウキ</t>
    </rPh>
    <rPh sb="2" eb="3">
      <t>ジュン</t>
    </rPh>
    <rPh sb="3" eb="5">
      <t>リエキ</t>
    </rPh>
    <phoneticPr fontId="20"/>
  </si>
  <si>
    <t>その他（特別損失）</t>
    <rPh sb="2" eb="3">
      <t>タ</t>
    </rPh>
    <rPh sb="4" eb="6">
      <t>トクベツ</t>
    </rPh>
    <rPh sb="6" eb="8">
      <t>ソンシツ</t>
    </rPh>
    <phoneticPr fontId="29"/>
  </si>
  <si>
    <t>(単位：円)</t>
    <phoneticPr fontId="20"/>
  </si>
  <si>
    <t>株主資本等変動計算書</t>
    <rPh sb="0" eb="2">
      <t>カブヌシ</t>
    </rPh>
    <rPh sb="2" eb="4">
      <t>シホン</t>
    </rPh>
    <rPh sb="4" eb="5">
      <t>トウ</t>
    </rPh>
    <rPh sb="5" eb="7">
      <t>ヘンドウ</t>
    </rPh>
    <rPh sb="7" eb="10">
      <t>ケイサンショ</t>
    </rPh>
    <phoneticPr fontId="20"/>
  </si>
  <si>
    <t>(単位：千円)</t>
    <rPh sb="4" eb="5">
      <t>セン</t>
    </rPh>
    <phoneticPr fontId="20"/>
  </si>
  <si>
    <t>株主資本</t>
    <rPh sb="0" eb="4">
      <t>カブヌシシホン</t>
    </rPh>
    <phoneticPr fontId="29"/>
  </si>
  <si>
    <t>純資産
合計</t>
    <rPh sb="0" eb="3">
      <t>ジュンシサン</t>
    </rPh>
    <rPh sb="4" eb="6">
      <t>ゴウケイ</t>
    </rPh>
    <phoneticPr fontId="29"/>
  </si>
  <si>
    <t>資本金</t>
    <rPh sb="0" eb="3">
      <t>シホンキン</t>
    </rPh>
    <phoneticPr fontId="29"/>
  </si>
  <si>
    <t>利益剰余金</t>
    <rPh sb="0" eb="2">
      <t>リエキ</t>
    </rPh>
    <rPh sb="2" eb="5">
      <t>ジョウヨキン</t>
    </rPh>
    <phoneticPr fontId="29"/>
  </si>
  <si>
    <t>株主資本
合計</t>
    <rPh sb="0" eb="2">
      <t>カブヌシ</t>
    </rPh>
    <rPh sb="2" eb="4">
      <t>シホン</t>
    </rPh>
    <rPh sb="5" eb="7">
      <t>ゴウケイ</t>
    </rPh>
    <phoneticPr fontId="29"/>
  </si>
  <si>
    <t>利益準備金</t>
    <rPh sb="0" eb="5">
      <t>リエキジュンビキン</t>
    </rPh>
    <phoneticPr fontId="29"/>
  </si>
  <si>
    <t>その他
利益剰余金</t>
    <rPh sb="2" eb="3">
      <t>タ</t>
    </rPh>
    <rPh sb="4" eb="9">
      <t>リエキジョウヨキン</t>
    </rPh>
    <phoneticPr fontId="29"/>
  </si>
  <si>
    <t>利益剰余金
合計</t>
    <rPh sb="0" eb="2">
      <t>リエキ</t>
    </rPh>
    <rPh sb="2" eb="5">
      <t>ジョウヨキン</t>
    </rPh>
    <rPh sb="6" eb="8">
      <t>ゴウケイ</t>
    </rPh>
    <phoneticPr fontId="29"/>
  </si>
  <si>
    <t>繰越
利益剰余金</t>
    <rPh sb="0" eb="2">
      <t>クリコシ</t>
    </rPh>
    <rPh sb="3" eb="5">
      <t>リエキ</t>
    </rPh>
    <rPh sb="5" eb="8">
      <t>ジョウヨキン</t>
    </rPh>
    <phoneticPr fontId="29"/>
  </si>
  <si>
    <t>当期首残高</t>
    <rPh sb="0" eb="1">
      <t>トウ</t>
    </rPh>
    <rPh sb="1" eb="3">
      <t>キシュ</t>
    </rPh>
    <rPh sb="3" eb="5">
      <t>ザンダカ</t>
    </rPh>
    <phoneticPr fontId="29"/>
  </si>
  <si>
    <t>当期変動額</t>
    <rPh sb="0" eb="2">
      <t>トウキ</t>
    </rPh>
    <rPh sb="2" eb="4">
      <t>ヘンドウ</t>
    </rPh>
    <rPh sb="4" eb="5">
      <t>ガク</t>
    </rPh>
    <phoneticPr fontId="29"/>
  </si>
  <si>
    <t>当期純利益</t>
    <rPh sb="0" eb="2">
      <t>トウキ</t>
    </rPh>
    <rPh sb="2" eb="5">
      <t>ジュンリエキ</t>
    </rPh>
    <phoneticPr fontId="29"/>
  </si>
  <si>
    <t>当期変動額合計</t>
    <rPh sb="0" eb="2">
      <t>トウキ</t>
    </rPh>
    <rPh sb="2" eb="4">
      <t>ヘンドウ</t>
    </rPh>
    <rPh sb="4" eb="5">
      <t>ガク</t>
    </rPh>
    <rPh sb="5" eb="7">
      <t>ゴウケイ</t>
    </rPh>
    <phoneticPr fontId="29"/>
  </si>
  <si>
    <t>当期末残高</t>
    <rPh sb="0" eb="2">
      <t>トウキ</t>
    </rPh>
    <rPh sb="2" eb="3">
      <t>マツ</t>
    </rPh>
    <rPh sb="3" eb="5">
      <t>ザンダカ</t>
    </rPh>
    <phoneticPr fontId="29"/>
  </si>
  <si>
    <t>（株主資本）</t>
    <rPh sb="1" eb="3">
      <t>カブヌシ</t>
    </rPh>
    <rPh sb="3" eb="5">
      <t>シホン</t>
    </rPh>
    <phoneticPr fontId="20"/>
  </si>
  <si>
    <t>当期末残高</t>
    <rPh sb="0" eb="1">
      <t>トウ</t>
    </rPh>
    <rPh sb="1" eb="3">
      <t>キマツ</t>
    </rPh>
    <rPh sb="3" eb="5">
      <t>ザンダカ</t>
    </rPh>
    <phoneticPr fontId="29"/>
  </si>
  <si>
    <t>利益剰余金</t>
    <rPh sb="0" eb="2">
      <t>リエキ</t>
    </rPh>
    <rPh sb="2" eb="5">
      <t>ジョウヨキン</t>
    </rPh>
    <phoneticPr fontId="20"/>
  </si>
  <si>
    <t>　利益準備金</t>
    <rPh sb="1" eb="3">
      <t>リエキ</t>
    </rPh>
    <rPh sb="3" eb="6">
      <t>ジュンビキン</t>
    </rPh>
    <phoneticPr fontId="20"/>
  </si>
  <si>
    <t>　その他利益剰余金</t>
    <rPh sb="3" eb="4">
      <t>タ</t>
    </rPh>
    <rPh sb="4" eb="6">
      <t>リエキ</t>
    </rPh>
    <rPh sb="6" eb="9">
      <t>ジョウヨキン</t>
    </rPh>
    <phoneticPr fontId="20"/>
  </si>
  <si>
    <t>　　　繰越利益剰余金</t>
    <rPh sb="3" eb="5">
      <t>クリコシ</t>
    </rPh>
    <rPh sb="5" eb="7">
      <t>リエキ</t>
    </rPh>
    <rPh sb="7" eb="10">
      <t>ジョウヨキン</t>
    </rPh>
    <phoneticPr fontId="20"/>
  </si>
  <si>
    <t>当期変動額　当期純利益金額</t>
    <rPh sb="0" eb="2">
      <t>トウキ</t>
    </rPh>
    <rPh sb="2" eb="4">
      <t>ヘンドウ</t>
    </rPh>
    <rPh sb="4" eb="5">
      <t>ガク</t>
    </rPh>
    <rPh sb="6" eb="8">
      <t>トウキ</t>
    </rPh>
    <rPh sb="8" eb="11">
      <t>ジュンリエキ</t>
    </rPh>
    <rPh sb="11" eb="13">
      <t>キンガク</t>
    </rPh>
    <phoneticPr fontId="29"/>
  </si>
  <si>
    <t>利益剰余金合計</t>
    <rPh sb="0" eb="2">
      <t>リエキ</t>
    </rPh>
    <rPh sb="2" eb="5">
      <t>ジョウヨキン</t>
    </rPh>
    <rPh sb="5" eb="7">
      <t>ゴウケイ</t>
    </rPh>
    <phoneticPr fontId="29"/>
  </si>
  <si>
    <t>株主資本合計</t>
    <rPh sb="0" eb="2">
      <t>カブヌシ</t>
    </rPh>
    <rPh sb="2" eb="4">
      <t>シホン</t>
    </rPh>
    <rPh sb="4" eb="6">
      <t>ゴウケイ</t>
    </rPh>
    <phoneticPr fontId="29"/>
  </si>
  <si>
    <t>純資産の部合計</t>
    <rPh sb="0" eb="3">
      <t>ジュンシサン</t>
    </rPh>
    <rPh sb="4" eb="5">
      <t>ブ</t>
    </rPh>
    <rPh sb="5" eb="7">
      <t>ゴウケイ</t>
    </rPh>
    <phoneticPr fontId="20"/>
  </si>
  <si>
    <t>純資産合計</t>
    <rPh sb="0" eb="3">
      <t>ジュンシサン</t>
    </rPh>
    <rPh sb="3" eb="5">
      <t>ゴウケイ</t>
    </rPh>
    <phoneticPr fontId="29"/>
  </si>
  <si>
    <t>期中平均株式数（月数換算）</t>
    <rPh sb="0" eb="2">
      <t>キチュウ</t>
    </rPh>
    <rPh sb="2" eb="4">
      <t>ヘイキン</t>
    </rPh>
    <rPh sb="4" eb="7">
      <t>カブシキスウ</t>
    </rPh>
    <rPh sb="8" eb="10">
      <t>ツキスウ</t>
    </rPh>
    <rPh sb="10" eb="12">
      <t>カンザン</t>
    </rPh>
    <phoneticPr fontId="29"/>
  </si>
  <si>
    <t>株</t>
    <rPh sb="0" eb="1">
      <t>カブ</t>
    </rPh>
    <phoneticPr fontId="29"/>
  </si>
  <si>
    <t>期中平均</t>
    <rPh sb="0" eb="2">
      <t>キチュウ</t>
    </rPh>
    <rPh sb="2" eb="4">
      <t>ヘイキン</t>
    </rPh>
    <phoneticPr fontId="29"/>
  </si>
  <si>
    <t>1株当たり純資産</t>
    <rPh sb="1" eb="2">
      <t>カブ</t>
    </rPh>
    <rPh sb="2" eb="3">
      <t>ア</t>
    </rPh>
    <rPh sb="5" eb="8">
      <t>ジュンシサン</t>
    </rPh>
    <phoneticPr fontId="29"/>
  </si>
  <si>
    <t>1株当たり純利益</t>
    <rPh sb="1" eb="2">
      <t>カブ</t>
    </rPh>
    <rPh sb="2" eb="3">
      <t>ア</t>
    </rPh>
    <rPh sb="5" eb="8">
      <t>ジュンリエキ</t>
    </rPh>
    <phoneticPr fontId="29"/>
  </si>
  <si>
    <t>当期変動額　当期純利益</t>
    <rPh sb="0" eb="2">
      <t>トウキ</t>
    </rPh>
    <rPh sb="2" eb="4">
      <t>ヘンドウ</t>
    </rPh>
    <rPh sb="4" eb="5">
      <t>ガク</t>
    </rPh>
    <rPh sb="6" eb="8">
      <t>トウキ</t>
    </rPh>
    <rPh sb="8" eb="11">
      <t>ジュンリエキ</t>
    </rPh>
    <phoneticPr fontId="29"/>
  </si>
  <si>
    <t>剰余金の配当</t>
    <rPh sb="0" eb="3">
      <t>ジョウヨキン</t>
    </rPh>
    <rPh sb="4" eb="6">
      <t>ハイトウ</t>
    </rPh>
    <phoneticPr fontId="29"/>
  </si>
  <si>
    <t>当期変動額　剰余金の配当</t>
    <rPh sb="0" eb="2">
      <t>トウキ</t>
    </rPh>
    <rPh sb="2" eb="4">
      <t>ヘンドウ</t>
    </rPh>
    <rPh sb="4" eb="5">
      <t>ガク</t>
    </rPh>
    <rPh sb="6" eb="9">
      <t>ジョウヨキン</t>
    </rPh>
    <rPh sb="10" eb="12">
      <t>ハイトウ</t>
    </rPh>
    <phoneticPr fontId="29"/>
  </si>
  <si>
    <t>（第 25 期）</t>
    <rPh sb="1" eb="2">
      <t>ダイ</t>
    </rPh>
    <rPh sb="6" eb="7">
      <t>キ</t>
    </rPh>
    <phoneticPr fontId="29"/>
  </si>
  <si>
    <t>自　令和７年１月１日</t>
    <rPh sb="0" eb="1">
      <t>ジ</t>
    </rPh>
    <rPh sb="2" eb="4">
      <t>レイワ</t>
    </rPh>
    <rPh sb="5" eb="6">
      <t>ネン</t>
    </rPh>
    <rPh sb="7" eb="8">
      <t>ガツ</t>
    </rPh>
    <rPh sb="9" eb="10">
      <t>ヒ</t>
    </rPh>
    <phoneticPr fontId="29"/>
  </si>
  <si>
    <t>自　令和７年12月31日</t>
    <rPh sb="0" eb="1">
      <t>ジ</t>
    </rPh>
    <rPh sb="2" eb="4">
      <t>レイワ</t>
    </rPh>
    <rPh sb="5" eb="6">
      <t>ネン</t>
    </rPh>
    <rPh sb="8" eb="9">
      <t>ガツ</t>
    </rPh>
    <rPh sb="11" eb="12">
      <t>ヒ</t>
    </rPh>
    <phoneticPr fontId="29"/>
  </si>
  <si>
    <t>(令和７年12月31日 現在)</t>
    <rPh sb="1" eb="3">
      <t>レイワ</t>
    </rPh>
    <phoneticPr fontId="20"/>
  </si>
  <si>
    <t>(自 令和７年１月１日　至 令和７年12月31日)</t>
    <rPh sb="1" eb="2">
      <t>ジ</t>
    </rPh>
    <rPh sb="12" eb="13">
      <t>イタル</t>
    </rPh>
    <rPh sb="14" eb="16">
      <t>レイワ</t>
    </rPh>
    <phoneticPr fontId="20"/>
  </si>
  <si>
    <t>　　　　　　剰余金の配当</t>
    <rPh sb="6" eb="9">
      <t>ジョウヨキン</t>
    </rPh>
    <rPh sb="10" eb="12">
      <t>ハイトウ</t>
    </rPh>
    <phoneticPr fontId="29"/>
  </si>
  <si>
    <t>１年内返済予定の
長期借入金</t>
    <rPh sb="1" eb="3">
      <t>ネンナイ</t>
    </rPh>
    <rPh sb="3" eb="5">
      <t>ヘンサイ</t>
    </rPh>
    <rPh sb="5" eb="7">
      <t>ヨテイ</t>
    </rPh>
    <rPh sb="9" eb="11">
      <t>チョウキ</t>
    </rPh>
    <rPh sb="11" eb="13">
      <t>カリイレ</t>
    </rPh>
    <rPh sb="13" eb="14">
      <t>キン</t>
    </rPh>
    <phoneticPr fontId="29"/>
  </si>
  <si>
    <t>１年内返済予定の長期借入金</t>
  </si>
  <si>
    <t>工具器具備品（及び一括償却資産）</t>
    <phoneticPr fontId="29"/>
  </si>
  <si>
    <t>株式会社ＦＤＳ</t>
    <rPh sb="0" eb="4">
      <t>カブシキガイシャ</t>
    </rPh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</si>
</sst>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176" formatCode="0.0%"/>
    <numFmt numFmtId="177" formatCode=";;;"/>
    <numFmt numFmtId="178" formatCode="#,##0.0"/>
    <numFmt numFmtId="179" formatCode="#,##0.000"/>
    <numFmt numFmtId="180" formatCode="#,##0.0000"/>
    <numFmt numFmtId="181" formatCode="#,##0;\-#,##0;&quot;&quot;"/>
    <numFmt numFmtId="182" formatCode="#,##0.0;\-#,##0.0;&quot;&quot;"/>
    <numFmt numFmtId="183" formatCode="#,##0.00;\-#,##0.00;&quot;&quot;"/>
    <numFmt numFmtId="184" formatCode="0%;\-0%;&quot;&quot;"/>
    <numFmt numFmtId="185" formatCode="0.0%;\-0.0%;&quot;&quot;"/>
    <numFmt numFmtId="186" formatCode="0.00%;\-0.00%;&quot;&quot;"/>
    <numFmt numFmtId="187" formatCode="#,##0\ ;[Red]&quot;△&quot;#,##0\ "/>
    <numFmt numFmtId="188" formatCode="#,##0;&quot;△ &quot;#,##0"/>
  </numFmts>
  <fonts count="44">
    <font>
      <sz val="11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b/>
      <sz val="18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2"/>
      <name val="ＭＳ 明朝"/>
      <family val="1"/>
      <charset val="128"/>
    </font>
    <font>
      <b/>
      <sz val="11"/>
      <name val="ＭＳ ゴシック"/>
      <family val="3"/>
      <charset val="128"/>
    </font>
    <font>
      <b/>
      <sz val="11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b/>
      <sz val="10"/>
      <name val="ＭＳ 明朝"/>
      <family val="1"/>
      <charset val="128"/>
    </font>
    <font>
      <b/>
      <sz val="28"/>
      <name val="ＭＳ ゴシック"/>
      <family val="3"/>
      <charset val="128"/>
    </font>
    <font>
      <sz val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scheme val="minor"/>
    </font>
    <font>
      <sz val="12"/>
      <name val="ＭＳ ゴシック"/>
      <family val="3"/>
      <charset val="128"/>
    </font>
    <font>
      <sz val="12"/>
      <name val="ＭＳ 明朝"/>
      <family val="1"/>
    </font>
    <font>
      <b/>
      <sz val="11"/>
      <name val="ＭＳ 明朝"/>
      <family val="1"/>
    </font>
    <font>
      <sz val="11"/>
      <name val="ＭＳ 明朝"/>
      <family val="1"/>
    </font>
    <font>
      <b/>
      <sz val="12"/>
      <name val="ＭＳ 明朝"/>
      <family val="1"/>
    </font>
    <font>
      <sz val="9"/>
      <name val="ＭＳ 明朝"/>
      <family val="1"/>
      <charset val="128"/>
    </font>
    <font>
      <b/>
      <sz val="10"/>
      <name val="ＭＳ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6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66">
    <xf numFmtId="0" fontId="0" fillId="0" borderId="0"/>
    <xf numFmtId="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0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8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0" fontId="1" fillId="0" borderId="0" applyNumberFormat="0" applyFont="0" applyFill="0" applyBorder="0" applyAlignment="0"/>
    <xf numFmtId="30" fontId="1" fillId="0" borderId="0" applyFont="0" applyFill="0" applyBorder="0" applyAlignment="0" applyProtection="0"/>
    <xf numFmtId="30" fontId="1" fillId="0" borderId="0" applyNumberFormat="0" applyFont="0" applyFill="0" applyBorder="0" applyAlignment="0">
      <protection locked="0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5" borderId="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8" fillId="4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8" fillId="0" borderId="0"/>
    <xf numFmtId="58" fontId="1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36" fillId="0" borderId="0"/>
    <xf numFmtId="38" fontId="36" fillId="0" borderId="0" applyFont="0" applyFill="0" applyBorder="0" applyAlignment="0" applyProtection="0">
      <alignment vertical="center"/>
    </xf>
  </cellStyleXfs>
  <cellXfs count="281">
    <xf numFmtId="0" fontId="0" fillId="0" borderId="0" xfId="0"/>
    <xf numFmtId="0" fontId="21" fillId="0" borderId="0" xfId="61" applyFont="1" applyAlignment="1">
      <alignment vertical="center"/>
    </xf>
    <xf numFmtId="0" fontId="22" fillId="0" borderId="0" xfId="61" applyFont="1" applyAlignment="1">
      <alignment horizontal="centerContinuous" vertical="center"/>
    </xf>
    <xf numFmtId="187" fontId="21" fillId="0" borderId="0" xfId="61" applyNumberFormat="1" applyFont="1" applyAlignment="1">
      <alignment vertical="center"/>
    </xf>
    <xf numFmtId="0" fontId="24" fillId="0" borderId="0" xfId="61" applyFont="1" applyAlignment="1">
      <alignment vertical="center"/>
    </xf>
    <xf numFmtId="0" fontId="23" fillId="0" borderId="0" xfId="61" applyFont="1" applyAlignment="1">
      <alignment horizontal="centerContinuous" vertical="center"/>
    </xf>
    <xf numFmtId="187" fontId="23" fillId="0" borderId="0" xfId="61" applyNumberFormat="1" applyFont="1" applyAlignment="1">
      <alignment horizontal="centerContinuous" vertical="center"/>
    </xf>
    <xf numFmtId="0" fontId="23" fillId="0" borderId="0" xfId="61" applyFont="1" applyAlignment="1">
      <alignment vertical="center"/>
    </xf>
    <xf numFmtId="0" fontId="21" fillId="0" borderId="0" xfId="61" applyFont="1" applyAlignment="1">
      <alignment horizontal="centerContinuous" vertical="center"/>
    </xf>
    <xf numFmtId="187" fontId="24" fillId="0" borderId="0" xfId="61" applyNumberFormat="1" applyFont="1" applyAlignment="1">
      <alignment vertical="center"/>
    </xf>
    <xf numFmtId="10" fontId="21" fillId="0" borderId="0" xfId="46" applyNumberFormat="1" applyFont="1" applyAlignment="1">
      <alignment vertical="center"/>
    </xf>
    <xf numFmtId="0" fontId="25" fillId="0" borderId="0" xfId="61" applyFont="1" applyAlignment="1">
      <alignment vertical="center"/>
    </xf>
    <xf numFmtId="0" fontId="26" fillId="0" borderId="0" xfId="61" applyFont="1" applyAlignment="1">
      <alignment vertical="center"/>
    </xf>
    <xf numFmtId="187" fontId="26" fillId="0" borderId="0" xfId="61" applyNumberFormat="1" applyFont="1" applyAlignment="1">
      <alignment vertical="center"/>
    </xf>
    <xf numFmtId="0" fontId="27" fillId="0" borderId="0" xfId="61" applyFont="1" applyAlignment="1">
      <alignment vertical="center"/>
    </xf>
    <xf numFmtId="38" fontId="26" fillId="0" borderId="0" xfId="52" applyFont="1" applyAlignment="1">
      <alignment vertical="center"/>
    </xf>
    <xf numFmtId="0" fontId="26" fillId="0" borderId="10" xfId="61" applyFont="1" applyBorder="1" applyAlignment="1">
      <alignment vertical="center"/>
    </xf>
    <xf numFmtId="177" fontId="26" fillId="0" borderId="10" xfId="61" applyNumberFormat="1" applyFont="1" applyBorder="1" applyAlignment="1">
      <alignment vertical="center"/>
    </xf>
    <xf numFmtId="0" fontId="24" fillId="0" borderId="13" xfId="61" applyFont="1" applyBorder="1" applyAlignment="1">
      <alignment vertical="center"/>
    </xf>
    <xf numFmtId="0" fontId="24" fillId="0" borderId="15" xfId="61" applyFont="1" applyBorder="1" applyAlignment="1">
      <alignment horizontal="distributed" vertical="center"/>
    </xf>
    <xf numFmtId="0" fontId="24" fillId="0" borderId="15" xfId="61" applyFont="1" applyBorder="1" applyAlignment="1">
      <alignment vertical="center"/>
    </xf>
    <xf numFmtId="187" fontId="21" fillId="0" borderId="0" xfId="52" applyNumberFormat="1" applyFont="1" applyAlignment="1">
      <alignment vertical="center" shrinkToFit="1"/>
    </xf>
    <xf numFmtId="0" fontId="21" fillId="0" borderId="0" xfId="61" applyFont="1" applyAlignment="1">
      <alignment vertical="center" shrinkToFit="1"/>
    </xf>
    <xf numFmtId="187" fontId="21" fillId="0" borderId="0" xfId="52" applyNumberFormat="1" applyFont="1" applyBorder="1" applyAlignment="1">
      <alignment vertical="center" shrinkToFit="1"/>
    </xf>
    <xf numFmtId="0" fontId="21" fillId="0" borderId="27" xfId="61" applyFont="1" applyBorder="1" applyAlignment="1">
      <alignment vertical="center"/>
    </xf>
    <xf numFmtId="0" fontId="24" fillId="0" borderId="25" xfId="61" applyFont="1" applyBorder="1" applyAlignment="1">
      <alignment vertical="center" shrinkToFit="1"/>
    </xf>
    <xf numFmtId="0" fontId="24" fillId="0" borderId="0" xfId="61" applyFont="1" applyAlignment="1">
      <alignment vertical="center" shrinkToFit="1"/>
    </xf>
    <xf numFmtId="0" fontId="21" fillId="0" borderId="25" xfId="61" applyFont="1" applyBorder="1" applyAlignment="1">
      <alignment vertical="center" shrinkToFit="1"/>
    </xf>
    <xf numFmtId="0" fontId="21" fillId="0" borderId="27" xfId="61" applyFont="1" applyBorder="1" applyAlignment="1">
      <alignment horizontal="center" vertical="center"/>
    </xf>
    <xf numFmtId="187" fontId="24" fillId="0" borderId="0" xfId="52" applyNumberFormat="1" applyFont="1" applyBorder="1" applyAlignment="1">
      <alignment vertical="center" shrinkToFit="1"/>
    </xf>
    <xf numFmtId="187" fontId="24" fillId="0" borderId="25" xfId="52" applyNumberFormat="1" applyFont="1" applyBorder="1" applyAlignment="1">
      <alignment horizontal="right" vertical="center" shrinkToFit="1"/>
    </xf>
    <xf numFmtId="187" fontId="21" fillId="0" borderId="25" xfId="52" applyNumberFormat="1" applyFont="1" applyBorder="1" applyAlignment="1">
      <alignment horizontal="right" vertical="center" shrinkToFit="1"/>
    </xf>
    <xf numFmtId="0" fontId="21" fillId="0" borderId="0" xfId="61" quotePrefix="1" applyFont="1" applyAlignment="1">
      <alignment horizontal="centerContinuous" vertical="center"/>
    </xf>
    <xf numFmtId="187" fontId="21" fillId="0" borderId="36" xfId="52" applyNumberFormat="1" applyFont="1" applyBorder="1" applyAlignment="1">
      <alignment vertical="center"/>
    </xf>
    <xf numFmtId="187" fontId="21" fillId="0" borderId="15" xfId="52" applyNumberFormat="1" applyFont="1" applyBorder="1" applyAlignment="1">
      <alignment vertical="center"/>
    </xf>
    <xf numFmtId="187" fontId="21" fillId="0" borderId="0" xfId="52" applyNumberFormat="1" applyFont="1" applyBorder="1" applyAlignment="1">
      <alignment vertical="center"/>
    </xf>
    <xf numFmtId="187" fontId="27" fillId="0" borderId="0" xfId="61" applyNumberFormat="1" applyFont="1" applyAlignment="1">
      <alignment vertical="center"/>
    </xf>
    <xf numFmtId="187" fontId="25" fillId="0" borderId="0" xfId="61" applyNumberFormat="1" applyFont="1" applyAlignment="1">
      <alignment vertical="center"/>
    </xf>
    <xf numFmtId="0" fontId="30" fillId="0" borderId="0" xfId="61" applyFont="1" applyAlignment="1">
      <alignment vertical="center"/>
    </xf>
    <xf numFmtId="0" fontId="31" fillId="0" borderId="0" xfId="61" applyFont="1" applyAlignment="1">
      <alignment horizontal="distributed" vertical="center"/>
    </xf>
    <xf numFmtId="187" fontId="30" fillId="0" borderId="0" xfId="61" applyNumberFormat="1" applyFont="1" applyAlignment="1">
      <alignment vertical="center"/>
    </xf>
    <xf numFmtId="0" fontId="32" fillId="0" borderId="0" xfId="61" applyFont="1" applyAlignment="1">
      <alignment vertical="center"/>
    </xf>
    <xf numFmtId="0" fontId="31" fillId="0" borderId="0" xfId="61" quotePrefix="1" applyFont="1" applyAlignment="1">
      <alignment horizontal="distributed" vertical="center"/>
    </xf>
    <xf numFmtId="0" fontId="31" fillId="0" borderId="0" xfId="61" quotePrefix="1" applyFont="1" applyAlignment="1">
      <alignment vertical="center"/>
    </xf>
    <xf numFmtId="187" fontId="30" fillId="0" borderId="0" xfId="61" applyNumberFormat="1" applyFont="1" applyAlignment="1">
      <alignment horizontal="right" vertical="center"/>
    </xf>
    <xf numFmtId="0" fontId="21" fillId="0" borderId="0" xfId="61" applyFont="1" applyAlignment="1">
      <alignment horizontal="distributed" vertical="center"/>
    </xf>
    <xf numFmtId="0" fontId="26" fillId="0" borderId="0" xfId="61" applyFont="1" applyAlignment="1">
      <alignment horizontal="distributed" vertical="center"/>
    </xf>
    <xf numFmtId="0" fontId="21" fillId="0" borderId="31" xfId="61" applyFont="1" applyBorder="1" applyAlignment="1">
      <alignment vertical="center"/>
    </xf>
    <xf numFmtId="0" fontId="21" fillId="0" borderId="30" xfId="61" applyFont="1" applyBorder="1" applyAlignment="1">
      <alignment vertical="center"/>
    </xf>
    <xf numFmtId="187" fontId="21" fillId="0" borderId="30" xfId="61" applyNumberFormat="1" applyFont="1" applyBorder="1" applyAlignment="1">
      <alignment vertical="center"/>
    </xf>
    <xf numFmtId="187" fontId="21" fillId="0" borderId="37" xfId="61" applyNumberFormat="1" applyFont="1" applyBorder="1" applyAlignment="1">
      <alignment vertical="center"/>
    </xf>
    <xf numFmtId="0" fontId="21" fillId="0" borderId="25" xfId="61" applyFont="1" applyBorder="1" applyAlignment="1">
      <alignment vertical="center"/>
    </xf>
    <xf numFmtId="187" fontId="21" fillId="0" borderId="28" xfId="61" applyNumberFormat="1" applyFont="1" applyBorder="1" applyAlignment="1">
      <alignment vertical="center"/>
    </xf>
    <xf numFmtId="187" fontId="23" fillId="0" borderId="28" xfId="61" applyNumberFormat="1" applyFont="1" applyBorder="1" applyAlignment="1">
      <alignment horizontal="centerContinuous" vertical="center"/>
    </xf>
    <xf numFmtId="0" fontId="21" fillId="0" borderId="25" xfId="61" applyFont="1" applyBorder="1" applyAlignment="1">
      <alignment horizontal="centerContinuous" vertical="center"/>
    </xf>
    <xf numFmtId="187" fontId="21" fillId="0" borderId="25" xfId="52" applyNumberFormat="1" applyFont="1" applyBorder="1" applyAlignment="1">
      <alignment vertical="center"/>
    </xf>
    <xf numFmtId="187" fontId="27" fillId="0" borderId="28" xfId="61" applyNumberFormat="1" applyFont="1" applyBorder="1" applyAlignment="1">
      <alignment horizontal="right" vertical="center"/>
    </xf>
    <xf numFmtId="0" fontId="30" fillId="0" borderId="25" xfId="61" applyFont="1" applyBorder="1" applyAlignment="1">
      <alignment vertical="center"/>
    </xf>
    <xf numFmtId="187" fontId="31" fillId="0" borderId="28" xfId="61" applyNumberFormat="1" applyFont="1" applyBorder="1" applyAlignment="1">
      <alignment vertical="center"/>
    </xf>
    <xf numFmtId="0" fontId="28" fillId="0" borderId="0" xfId="61" applyFont="1" applyAlignment="1">
      <alignment horizontal="centerContinuous" vertical="center"/>
    </xf>
    <xf numFmtId="187" fontId="28" fillId="0" borderId="0" xfId="61" applyNumberFormat="1" applyFont="1" applyAlignment="1">
      <alignment horizontal="centerContinuous" vertical="center"/>
    </xf>
    <xf numFmtId="187" fontId="28" fillId="0" borderId="28" xfId="61" applyNumberFormat="1" applyFont="1" applyBorder="1" applyAlignment="1">
      <alignment horizontal="centerContinuous" vertical="center"/>
    </xf>
    <xf numFmtId="0" fontId="31" fillId="0" borderId="0" xfId="61" applyFont="1" applyAlignment="1">
      <alignment horizontal="centerContinuous" vertical="center"/>
    </xf>
    <xf numFmtId="0" fontId="30" fillId="0" borderId="0" xfId="61" applyFont="1" applyAlignment="1">
      <alignment horizontal="centerContinuous" vertical="center"/>
    </xf>
    <xf numFmtId="187" fontId="30" fillId="0" borderId="0" xfId="61" applyNumberFormat="1" applyFont="1" applyAlignment="1">
      <alignment horizontal="centerContinuous" vertical="center"/>
    </xf>
    <xf numFmtId="187" fontId="31" fillId="0" borderId="28" xfId="61" applyNumberFormat="1" applyFont="1" applyBorder="1" applyAlignment="1">
      <alignment horizontal="centerContinuous" vertical="center"/>
    </xf>
    <xf numFmtId="0" fontId="31" fillId="0" borderId="0" xfId="61" quotePrefix="1" applyFont="1" applyAlignment="1">
      <alignment horizontal="centerContinuous" vertical="center"/>
    </xf>
    <xf numFmtId="0" fontId="32" fillId="0" borderId="0" xfId="61" applyFont="1" applyAlignment="1">
      <alignment horizontal="centerContinuous" vertical="center"/>
    </xf>
    <xf numFmtId="0" fontId="30" fillId="0" borderId="38" xfId="61" applyFont="1" applyBorder="1" applyAlignment="1">
      <alignment horizontal="centerContinuous" vertical="center"/>
    </xf>
    <xf numFmtId="0" fontId="31" fillId="0" borderId="36" xfId="61" quotePrefix="1" applyFont="1" applyBorder="1" applyAlignment="1">
      <alignment horizontal="centerContinuous" vertical="center"/>
    </xf>
    <xf numFmtId="0" fontId="30" fillId="0" borderId="36" xfId="61" applyFont="1" applyBorder="1" applyAlignment="1">
      <alignment horizontal="centerContinuous" vertical="center"/>
    </xf>
    <xf numFmtId="187" fontId="30" fillId="0" borderId="36" xfId="61" applyNumberFormat="1" applyFont="1" applyBorder="1" applyAlignment="1">
      <alignment horizontal="centerContinuous" vertical="center"/>
    </xf>
    <xf numFmtId="187" fontId="31" fillId="0" borderId="39" xfId="61" applyNumberFormat="1" applyFont="1" applyBorder="1" applyAlignment="1">
      <alignment horizontal="centerContinuous" vertical="center"/>
    </xf>
    <xf numFmtId="0" fontId="30" fillId="0" borderId="25" xfId="61" applyFont="1" applyBorder="1" applyAlignment="1">
      <alignment horizontal="centerContinuous" vertical="center"/>
    </xf>
    <xf numFmtId="0" fontId="33" fillId="0" borderId="25" xfId="61" applyFont="1" applyBorder="1" applyAlignment="1">
      <alignment horizontal="centerContinuous" vertical="center"/>
    </xf>
    <xf numFmtId="0" fontId="27" fillId="0" borderId="25" xfId="61" applyFont="1" applyBorder="1" applyAlignment="1">
      <alignment horizontal="centerContinuous" vertical="center"/>
    </xf>
    <xf numFmtId="0" fontId="24" fillId="0" borderId="27" xfId="61" applyFont="1" applyBorder="1" applyAlignment="1">
      <alignment vertical="center"/>
    </xf>
    <xf numFmtId="0" fontId="24" fillId="0" borderId="27" xfId="61" applyFont="1" applyBorder="1" applyAlignment="1">
      <alignment horizontal="center" vertical="center"/>
    </xf>
    <xf numFmtId="187" fontId="24" fillId="0" borderId="25" xfId="52" applyNumberFormat="1" applyFont="1" applyBorder="1" applyAlignment="1">
      <alignment vertical="center" shrinkToFit="1"/>
    </xf>
    <xf numFmtId="0" fontId="24" fillId="0" borderId="27" xfId="61" applyFont="1" applyBorder="1" applyAlignment="1">
      <alignment horizontal="distributed" vertical="center"/>
    </xf>
    <xf numFmtId="0" fontId="21" fillId="0" borderId="27" xfId="61" applyFont="1" applyBorder="1" applyAlignment="1">
      <alignment horizontal="distributed" vertical="center"/>
    </xf>
    <xf numFmtId="0" fontId="24" fillId="0" borderId="0" xfId="61" applyFont="1" applyAlignment="1">
      <alignment horizontal="distributed" vertical="center"/>
    </xf>
    <xf numFmtId="188" fontId="21" fillId="0" borderId="0" xfId="52" applyNumberFormat="1" applyFont="1" applyAlignment="1">
      <alignment vertical="center"/>
    </xf>
    <xf numFmtId="188" fontId="22" fillId="0" borderId="0" xfId="61" applyNumberFormat="1" applyFont="1" applyAlignment="1">
      <alignment horizontal="centerContinuous" vertical="center"/>
    </xf>
    <xf numFmtId="188" fontId="21" fillId="0" borderId="0" xfId="61" quotePrefix="1" applyNumberFormat="1" applyFont="1" applyAlignment="1">
      <alignment horizontal="centerContinuous" vertical="center"/>
    </xf>
    <xf numFmtId="188" fontId="21" fillId="0" borderId="36" xfId="52" applyNumberFormat="1" applyFont="1" applyBorder="1" applyAlignment="1">
      <alignment vertical="center"/>
    </xf>
    <xf numFmtId="188" fontId="24" fillId="0" borderId="32" xfId="52" applyNumberFormat="1" applyFont="1" applyBorder="1" applyAlignment="1">
      <alignment horizontal="distributed" vertical="center" justifyLastLine="1"/>
    </xf>
    <xf numFmtId="188" fontId="24" fillId="0" borderId="24" xfId="52" applyNumberFormat="1" applyFont="1" applyFill="1" applyBorder="1" applyAlignment="1">
      <alignment vertical="center"/>
    </xf>
    <xf numFmtId="188" fontId="21" fillId="0" borderId="24" xfId="52" applyNumberFormat="1" applyFont="1" applyFill="1" applyBorder="1" applyAlignment="1">
      <alignment vertical="center"/>
    </xf>
    <xf numFmtId="188" fontId="24" fillId="0" borderId="28" xfId="61" applyNumberFormat="1" applyFont="1" applyBorder="1" applyAlignment="1">
      <alignment vertical="center"/>
    </xf>
    <xf numFmtId="188" fontId="21" fillId="0" borderId="24" xfId="52" applyNumberFormat="1" applyFont="1" applyBorder="1" applyAlignment="1">
      <alignment vertical="center"/>
    </xf>
    <xf numFmtId="188" fontId="24" fillId="0" borderId="24" xfId="52" applyNumberFormat="1" applyFont="1" applyBorder="1" applyAlignment="1">
      <alignment vertical="center"/>
    </xf>
    <xf numFmtId="188" fontId="24" fillId="0" borderId="23" xfId="52" applyNumberFormat="1" applyFont="1" applyBorder="1" applyAlignment="1">
      <alignment vertical="center"/>
    </xf>
    <xf numFmtId="188" fontId="21" fillId="0" borderId="36" xfId="52" applyNumberFormat="1" applyFont="1" applyBorder="1" applyAlignment="1">
      <alignment horizontal="right" vertical="center"/>
    </xf>
    <xf numFmtId="188" fontId="21" fillId="0" borderId="28" xfId="52" applyNumberFormat="1" applyFont="1" applyBorder="1" applyAlignment="1">
      <alignment vertical="center"/>
    </xf>
    <xf numFmtId="188" fontId="24" fillId="0" borderId="26" xfId="52" applyNumberFormat="1" applyFont="1" applyBorder="1" applyAlignment="1">
      <alignment vertical="center"/>
    </xf>
    <xf numFmtId="188" fontId="21" fillId="0" borderId="0" xfId="61" applyNumberFormat="1" applyFont="1" applyAlignment="1">
      <alignment vertical="center"/>
    </xf>
    <xf numFmtId="188" fontId="23" fillId="0" borderId="0" xfId="61" applyNumberFormat="1" applyFont="1" applyAlignment="1">
      <alignment horizontal="centerContinuous" vertical="center"/>
    </xf>
    <xf numFmtId="188" fontId="26" fillId="0" borderId="0" xfId="61" applyNumberFormat="1" applyFont="1" applyAlignment="1">
      <alignment vertical="center"/>
    </xf>
    <xf numFmtId="188" fontId="27" fillId="0" borderId="0" xfId="61" applyNumberFormat="1" applyFont="1" applyAlignment="1">
      <alignment horizontal="right" vertical="center"/>
    </xf>
    <xf numFmtId="188" fontId="26" fillId="0" borderId="10" xfId="61" applyNumberFormat="1" applyFont="1" applyBorder="1" applyAlignment="1">
      <alignment vertical="center"/>
    </xf>
    <xf numFmtId="188" fontId="26" fillId="0" borderId="12" xfId="61" applyNumberFormat="1" applyFont="1" applyBorder="1" applyAlignment="1">
      <alignment vertical="center"/>
    </xf>
    <xf numFmtId="188" fontId="26" fillId="0" borderId="11" xfId="61" applyNumberFormat="1" applyFont="1" applyBorder="1" applyAlignment="1">
      <alignment vertical="center"/>
    </xf>
    <xf numFmtId="188" fontId="27" fillId="0" borderId="10" xfId="61" applyNumberFormat="1" applyFont="1" applyBorder="1" applyAlignment="1">
      <alignment vertical="center"/>
    </xf>
    <xf numFmtId="188" fontId="27" fillId="0" borderId="14" xfId="61" applyNumberFormat="1" applyFont="1" applyBorder="1" applyAlignment="1">
      <alignment vertical="center"/>
    </xf>
    <xf numFmtId="188" fontId="27" fillId="0" borderId="12" xfId="61" applyNumberFormat="1" applyFont="1" applyBorder="1" applyAlignment="1">
      <alignment vertical="center"/>
    </xf>
    <xf numFmtId="188" fontId="26" fillId="0" borderId="14" xfId="61" applyNumberFormat="1" applyFont="1" applyBorder="1" applyAlignment="1">
      <alignment vertical="center"/>
    </xf>
    <xf numFmtId="188" fontId="24" fillId="0" borderId="13" xfId="61" applyNumberFormat="1" applyFont="1" applyBorder="1" applyAlignment="1">
      <alignment vertical="center"/>
    </xf>
    <xf numFmtId="188" fontId="24" fillId="0" borderId="16" xfId="61" applyNumberFormat="1" applyFont="1" applyBorder="1" applyAlignment="1">
      <alignment vertical="center"/>
    </xf>
    <xf numFmtId="188" fontId="21" fillId="0" borderId="0" xfId="46" applyNumberFormat="1" applyFont="1" applyAlignment="1">
      <alignment vertical="center"/>
    </xf>
    <xf numFmtId="188" fontId="27" fillId="0" borderId="0" xfId="61" applyNumberFormat="1" applyFont="1" applyAlignment="1">
      <alignment vertical="center"/>
    </xf>
    <xf numFmtId="188" fontId="27" fillId="0" borderId="19" xfId="61" applyNumberFormat="1" applyFont="1" applyBorder="1" applyAlignment="1">
      <alignment vertical="center"/>
    </xf>
    <xf numFmtId="188" fontId="26" fillId="0" borderId="19" xfId="61" applyNumberFormat="1" applyFont="1" applyBorder="1" applyAlignment="1">
      <alignment vertical="center"/>
    </xf>
    <xf numFmtId="0" fontId="27" fillId="0" borderId="0" xfId="61" applyFont="1" applyAlignment="1">
      <alignment horizontal="distributed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38" fontId="27" fillId="0" borderId="0" xfId="52" applyFont="1" applyAlignment="1">
      <alignment vertical="center"/>
    </xf>
    <xf numFmtId="55" fontId="27" fillId="0" borderId="0" xfId="0" applyNumberFormat="1" applyFont="1" applyAlignment="1">
      <alignment horizontal="center" vertical="center"/>
    </xf>
    <xf numFmtId="38" fontId="27" fillId="0" borderId="16" xfId="52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41" fontId="27" fillId="0" borderId="11" xfId="61" applyNumberFormat="1" applyFont="1" applyBorder="1" applyAlignment="1">
      <alignment vertical="center"/>
    </xf>
    <xf numFmtId="0" fontId="24" fillId="0" borderId="18" xfId="61" applyFont="1" applyBorder="1" applyAlignment="1">
      <alignment horizontal="distributed" vertical="center" justifyLastLine="1"/>
    </xf>
    <xf numFmtId="0" fontId="21" fillId="0" borderId="0" xfId="61" applyFont="1" applyAlignment="1">
      <alignment horizontal="center" vertical="center"/>
    </xf>
    <xf numFmtId="187" fontId="24" fillId="0" borderId="0" xfId="52" applyNumberFormat="1" applyFont="1" applyBorder="1" applyAlignment="1">
      <alignment horizontal="right" vertical="center" shrinkToFit="1"/>
    </xf>
    <xf numFmtId="0" fontId="24" fillId="0" borderId="0" xfId="61" applyFont="1" applyAlignment="1">
      <alignment vertical="center" justifyLastLine="1"/>
    </xf>
    <xf numFmtId="188" fontId="21" fillId="0" borderId="0" xfId="52" applyNumberFormat="1" applyFont="1" applyFill="1" applyBorder="1" applyAlignment="1">
      <alignment vertical="center"/>
    </xf>
    <xf numFmtId="38" fontId="21" fillId="0" borderId="0" xfId="52" applyFont="1" applyAlignment="1">
      <alignment vertical="center"/>
    </xf>
    <xf numFmtId="38" fontId="21" fillId="0" borderId="0" xfId="61" applyNumberFormat="1" applyFont="1" applyAlignment="1">
      <alignment vertical="center"/>
    </xf>
    <xf numFmtId="188" fontId="27" fillId="0" borderId="11" xfId="61" applyNumberFormat="1" applyFont="1" applyBorder="1" applyAlignment="1">
      <alignment vertical="center"/>
    </xf>
    <xf numFmtId="40" fontId="27" fillId="0" borderId="0" xfId="52" applyNumberFormat="1" applyFont="1" applyAlignment="1">
      <alignment vertical="center"/>
    </xf>
    <xf numFmtId="0" fontId="21" fillId="0" borderId="24" xfId="61" applyFont="1" applyBorder="1" applyAlignment="1">
      <alignment vertical="center"/>
    </xf>
    <xf numFmtId="0" fontId="27" fillId="0" borderId="16" xfId="61" applyFont="1" applyBorder="1" applyAlignment="1">
      <alignment vertical="center"/>
    </xf>
    <xf numFmtId="187" fontId="27" fillId="0" borderId="16" xfId="61" applyNumberFormat="1" applyFont="1" applyBorder="1" applyAlignment="1">
      <alignment horizontal="center" vertical="center" wrapText="1"/>
    </xf>
    <xf numFmtId="0" fontId="24" fillId="0" borderId="16" xfId="61" applyFont="1" applyBorder="1" applyAlignment="1">
      <alignment vertical="center"/>
    </xf>
    <xf numFmtId="0" fontId="27" fillId="0" borderId="17" xfId="61" applyFont="1" applyBorder="1" applyAlignment="1">
      <alignment vertical="center"/>
    </xf>
    <xf numFmtId="0" fontId="27" fillId="0" borderId="18" xfId="61" applyFont="1" applyBorder="1" applyAlignment="1">
      <alignment vertical="center"/>
    </xf>
    <xf numFmtId="0" fontId="27" fillId="0" borderId="16" xfId="61" applyFont="1" applyBorder="1" applyAlignment="1">
      <alignment horizontal="center" vertical="center" wrapText="1"/>
    </xf>
    <xf numFmtId="187" fontId="21" fillId="0" borderId="0" xfId="52" applyNumberFormat="1" applyFont="1" applyBorder="1" applyAlignment="1">
      <alignment horizontal="right" vertical="center" shrinkToFit="1"/>
    </xf>
    <xf numFmtId="0" fontId="26" fillId="0" borderId="18" xfId="61" applyFont="1" applyBorder="1" applyAlignment="1">
      <alignment horizontal="distributed" vertical="center" justifyLastLine="1"/>
    </xf>
    <xf numFmtId="0" fontId="26" fillId="0" borderId="27" xfId="61" applyFont="1" applyBorder="1" applyAlignment="1">
      <alignment horizontal="center" vertical="center"/>
    </xf>
    <xf numFmtId="188" fontId="27" fillId="0" borderId="16" xfId="52" applyNumberFormat="1" applyFont="1" applyBorder="1" applyAlignment="1">
      <alignment vertical="center"/>
    </xf>
    <xf numFmtId="188" fontId="27" fillId="0" borderId="16" xfId="52" applyNumberFormat="1" applyFont="1" applyBorder="1" applyAlignment="1">
      <alignment horizontal="right" vertical="center"/>
    </xf>
    <xf numFmtId="188" fontId="37" fillId="0" borderId="0" xfId="61" quotePrefix="1" applyNumberFormat="1" applyFont="1" applyAlignment="1">
      <alignment horizontal="centerContinuous" vertical="center"/>
    </xf>
    <xf numFmtId="188" fontId="21" fillId="0" borderId="0" xfId="61" applyNumberFormat="1" applyFont="1" applyAlignment="1">
      <alignment horizontal="right" vertical="center"/>
    </xf>
    <xf numFmtId="0" fontId="26" fillId="0" borderId="25" xfId="61" applyFont="1" applyBorder="1" applyAlignment="1">
      <alignment vertical="center" shrinkToFit="1"/>
    </xf>
    <xf numFmtId="0" fontId="26" fillId="0" borderId="27" xfId="61" applyFont="1" applyBorder="1" applyAlignment="1">
      <alignment vertical="center"/>
    </xf>
    <xf numFmtId="188" fontId="26" fillId="0" borderId="24" xfId="52" applyNumberFormat="1" applyFont="1" applyFill="1" applyBorder="1" applyAlignment="1">
      <alignment vertical="center"/>
    </xf>
    <xf numFmtId="187" fontId="26" fillId="0" borderId="25" xfId="52" applyNumberFormat="1" applyFont="1" applyBorder="1" applyAlignment="1">
      <alignment horizontal="right" vertical="center" shrinkToFit="1"/>
    </xf>
    <xf numFmtId="188" fontId="26" fillId="0" borderId="24" xfId="52" applyNumberFormat="1" applyFont="1" applyBorder="1" applyAlignment="1">
      <alignment vertical="center"/>
    </xf>
    <xf numFmtId="0" fontId="27" fillId="0" borderId="0" xfId="61" applyFont="1" applyAlignment="1">
      <alignment vertical="center" shrinkToFit="1"/>
    </xf>
    <xf numFmtId="0" fontId="27" fillId="0" borderId="27" xfId="61" applyFont="1" applyBorder="1" applyAlignment="1">
      <alignment vertical="center"/>
    </xf>
    <xf numFmtId="188" fontId="27" fillId="0" borderId="24" xfId="52" applyNumberFormat="1" applyFont="1" applyFill="1" applyBorder="1" applyAlignment="1">
      <alignment vertical="center"/>
    </xf>
    <xf numFmtId="187" fontId="27" fillId="0" borderId="25" xfId="52" applyNumberFormat="1" applyFont="1" applyBorder="1" applyAlignment="1">
      <alignment horizontal="right" vertical="center" shrinkToFit="1"/>
    </xf>
    <xf numFmtId="187" fontId="27" fillId="0" borderId="0" xfId="52" applyNumberFormat="1" applyFont="1" applyBorder="1" applyAlignment="1">
      <alignment vertical="center" shrinkToFit="1"/>
    </xf>
    <xf numFmtId="0" fontId="27" fillId="0" borderId="27" xfId="61" applyFont="1" applyBorder="1" applyAlignment="1">
      <alignment horizontal="center" vertical="center"/>
    </xf>
    <xf numFmtId="187" fontId="26" fillId="0" borderId="0" xfId="52" applyNumberFormat="1" applyFont="1" applyBorder="1" applyAlignment="1">
      <alignment horizontal="right" vertical="center" shrinkToFit="1"/>
    </xf>
    <xf numFmtId="187" fontId="26" fillId="0" borderId="0" xfId="52" applyNumberFormat="1" applyFont="1" applyBorder="1" applyAlignment="1">
      <alignment vertical="center" shrinkToFit="1"/>
    </xf>
    <xf numFmtId="188" fontId="27" fillId="0" borderId="24" xfId="52" applyNumberFormat="1" applyFont="1" applyBorder="1" applyAlignment="1">
      <alignment vertical="center"/>
    </xf>
    <xf numFmtId="0" fontId="26" fillId="0" borderId="0" xfId="61" applyFont="1" applyAlignment="1">
      <alignment vertical="center" justifyLastLine="1"/>
    </xf>
    <xf numFmtId="0" fontId="26" fillId="0" borderId="0" xfId="61" applyFont="1" applyAlignment="1">
      <alignment vertical="center" shrinkToFit="1"/>
    </xf>
    <xf numFmtId="188" fontId="26" fillId="0" borderId="28" xfId="61" applyNumberFormat="1" applyFont="1" applyBorder="1" applyAlignment="1">
      <alignment vertical="center"/>
    </xf>
    <xf numFmtId="0" fontId="27" fillId="0" borderId="0" xfId="61" applyFont="1" applyAlignment="1">
      <alignment horizontal="center" vertical="center"/>
    </xf>
    <xf numFmtId="188" fontId="26" fillId="0" borderId="26" xfId="52" applyNumberFormat="1" applyFont="1" applyBorder="1" applyAlignment="1">
      <alignment vertical="center"/>
    </xf>
    <xf numFmtId="187" fontId="26" fillId="0" borderId="25" xfId="52" applyNumberFormat="1" applyFont="1" applyBorder="1" applyAlignment="1">
      <alignment vertical="center" shrinkToFit="1"/>
    </xf>
    <xf numFmtId="0" fontId="26" fillId="0" borderId="27" xfId="61" applyFont="1" applyBorder="1" applyAlignment="1">
      <alignment horizontal="distributed" vertical="center"/>
    </xf>
    <xf numFmtId="0" fontId="27" fillId="0" borderId="27" xfId="61" applyFont="1" applyBorder="1" applyAlignment="1">
      <alignment horizontal="distributed" vertical="center"/>
    </xf>
    <xf numFmtId="188" fontId="27" fillId="0" borderId="28" xfId="52" applyNumberFormat="1" applyFont="1" applyBorder="1" applyAlignment="1">
      <alignment vertical="center"/>
    </xf>
    <xf numFmtId="0" fontId="27" fillId="0" borderId="25" xfId="61" applyFont="1" applyBorder="1" applyAlignment="1">
      <alignment vertical="center" shrinkToFit="1"/>
    </xf>
    <xf numFmtId="0" fontId="27" fillId="0" borderId="24" xfId="61" applyFont="1" applyBorder="1" applyAlignment="1">
      <alignment vertical="center"/>
    </xf>
    <xf numFmtId="0" fontId="27" fillId="0" borderId="42" xfId="61" applyFont="1" applyBorder="1" applyAlignment="1">
      <alignment vertical="center"/>
    </xf>
    <xf numFmtId="188" fontId="26" fillId="0" borderId="23" xfId="52" applyNumberFormat="1" applyFont="1" applyBorder="1" applyAlignment="1">
      <alignment vertical="center"/>
    </xf>
    <xf numFmtId="188" fontId="26" fillId="0" borderId="32" xfId="52" applyNumberFormat="1" applyFont="1" applyBorder="1" applyAlignment="1">
      <alignment horizontal="distributed" vertical="center" justifyLastLine="1"/>
    </xf>
    <xf numFmtId="3" fontId="36" fillId="0" borderId="18" xfId="64" applyNumberFormat="1" applyBorder="1" applyAlignment="1">
      <alignment horizontal="right"/>
    </xf>
    <xf numFmtId="38" fontId="21" fillId="0" borderId="46" xfId="52" applyFont="1" applyBorder="1" applyAlignment="1">
      <alignment vertical="center"/>
    </xf>
    <xf numFmtId="38" fontId="21" fillId="0" borderId="47" xfId="52" applyFont="1" applyBorder="1" applyAlignment="1">
      <alignment vertical="center"/>
    </xf>
    <xf numFmtId="38" fontId="21" fillId="0" borderId="48" xfId="52" applyFont="1" applyBorder="1" applyAlignment="1">
      <alignment vertical="center"/>
    </xf>
    <xf numFmtId="3" fontId="38" fillId="0" borderId="0" xfId="61" applyNumberFormat="1" applyFont="1" applyAlignment="1">
      <alignment vertical="center"/>
    </xf>
    <xf numFmtId="38" fontId="38" fillId="0" borderId="0" xfId="52" applyFont="1" applyAlignment="1">
      <alignment vertical="center"/>
    </xf>
    <xf numFmtId="188" fontId="27" fillId="0" borderId="10" xfId="52" applyNumberFormat="1" applyFont="1" applyBorder="1" applyAlignment="1">
      <alignment vertical="center"/>
    </xf>
    <xf numFmtId="188" fontId="26" fillId="0" borderId="10" xfId="52" applyNumberFormat="1" applyFont="1" applyBorder="1" applyAlignment="1">
      <alignment vertical="center"/>
    </xf>
    <xf numFmtId="188" fontId="39" fillId="0" borderId="19" xfId="61" applyNumberFormat="1" applyFont="1" applyBorder="1" applyAlignment="1">
      <alignment vertical="center"/>
    </xf>
    <xf numFmtId="0" fontId="39" fillId="0" borderId="0" xfId="61" applyFont="1" applyAlignment="1">
      <alignment horizontal="distributed" vertical="center"/>
    </xf>
    <xf numFmtId="0" fontId="40" fillId="0" borderId="0" xfId="61" applyFont="1" applyAlignment="1">
      <alignment horizontal="distributed" vertical="center"/>
    </xf>
    <xf numFmtId="188" fontId="40" fillId="0" borderId="19" xfId="61" applyNumberFormat="1" applyFont="1" applyBorder="1" applyAlignment="1">
      <alignment vertical="center"/>
    </xf>
    <xf numFmtId="188" fontId="40" fillId="0" borderId="0" xfId="61" applyNumberFormat="1" applyFont="1" applyAlignment="1">
      <alignment vertical="center"/>
    </xf>
    <xf numFmtId="188" fontId="39" fillId="0" borderId="0" xfId="61" applyNumberFormat="1" applyFont="1" applyAlignment="1">
      <alignment vertical="center"/>
    </xf>
    <xf numFmtId="187" fontId="40" fillId="0" borderId="0" xfId="61" applyNumberFormat="1" applyFont="1" applyAlignment="1">
      <alignment vertical="center"/>
    </xf>
    <xf numFmtId="0" fontId="39" fillId="0" borderId="0" xfId="61" applyFont="1" applyAlignment="1">
      <alignment vertical="center"/>
    </xf>
    <xf numFmtId="0" fontId="41" fillId="0" borderId="0" xfId="61" applyFont="1" applyAlignment="1">
      <alignment vertical="center"/>
    </xf>
    <xf numFmtId="188" fontId="40" fillId="0" borderId="0" xfId="61" applyNumberFormat="1" applyFont="1" applyAlignment="1">
      <alignment horizontal="right" vertical="center"/>
    </xf>
    <xf numFmtId="187" fontId="39" fillId="0" borderId="0" xfId="61" applyNumberFormat="1" applyFont="1" applyAlignment="1">
      <alignment vertical="center"/>
    </xf>
    <xf numFmtId="187" fontId="38" fillId="0" borderId="0" xfId="52" applyNumberFormat="1" applyFont="1" applyAlignment="1">
      <alignment vertical="center"/>
    </xf>
    <xf numFmtId="188" fontId="42" fillId="0" borderId="16" xfId="52" applyNumberFormat="1" applyFont="1" applyBorder="1" applyAlignment="1">
      <alignment vertical="center"/>
    </xf>
    <xf numFmtId="188" fontId="42" fillId="0" borderId="16" xfId="52" applyNumberFormat="1" applyFont="1" applyBorder="1" applyAlignment="1">
      <alignment horizontal="right" vertical="center"/>
    </xf>
    <xf numFmtId="188" fontId="26" fillId="0" borderId="49" xfId="52" applyNumberFormat="1" applyFont="1" applyBorder="1" applyAlignment="1">
      <alignment horizontal="distributed" vertical="center" justifyLastLine="1"/>
    </xf>
    <xf numFmtId="188" fontId="26" fillId="0" borderId="10" xfId="52" applyNumberFormat="1" applyFont="1" applyBorder="1" applyAlignment="1">
      <alignment horizontal="right" vertical="center"/>
    </xf>
    <xf numFmtId="188" fontId="27" fillId="0" borderId="10" xfId="52" applyNumberFormat="1" applyFont="1" applyFill="1" applyBorder="1" applyAlignment="1">
      <alignment vertical="center"/>
    </xf>
    <xf numFmtId="188" fontId="26" fillId="0" borderId="10" xfId="52" applyNumberFormat="1" applyFont="1" applyFill="1" applyBorder="1" applyAlignment="1">
      <alignment vertical="center"/>
    </xf>
    <xf numFmtId="188" fontId="21" fillId="0" borderId="0" xfId="52" applyNumberFormat="1" applyFont="1" applyBorder="1" applyAlignment="1">
      <alignment horizontal="right" vertical="center"/>
    </xf>
    <xf numFmtId="0" fontId="26" fillId="0" borderId="25" xfId="61" applyFont="1" applyBorder="1" applyAlignment="1">
      <alignment vertical="center" justifyLastLine="1"/>
    </xf>
    <xf numFmtId="0" fontId="26" fillId="0" borderId="27" xfId="61" applyFont="1" applyBorder="1" applyAlignment="1">
      <alignment vertical="center" justifyLastLine="1"/>
    </xf>
    <xf numFmtId="188" fontId="26" fillId="0" borderId="53" xfId="52" applyNumberFormat="1" applyFont="1" applyBorder="1" applyAlignment="1">
      <alignment horizontal="distributed" vertical="center" justifyLastLine="1"/>
    </xf>
    <xf numFmtId="188" fontId="26" fillId="0" borderId="55" xfId="52" applyNumberFormat="1" applyFont="1" applyBorder="1" applyAlignment="1">
      <alignment horizontal="right" vertical="center"/>
    </xf>
    <xf numFmtId="187" fontId="26" fillId="0" borderId="56" xfId="52" applyNumberFormat="1" applyFont="1" applyBorder="1" applyAlignment="1">
      <alignment horizontal="right" vertical="center" shrinkToFit="1"/>
    </xf>
    <xf numFmtId="188" fontId="26" fillId="0" borderId="55" xfId="52" applyNumberFormat="1" applyFont="1" applyBorder="1" applyAlignment="1">
      <alignment vertical="center"/>
    </xf>
    <xf numFmtId="187" fontId="27" fillId="0" borderId="56" xfId="52" applyNumberFormat="1" applyFont="1" applyBorder="1" applyAlignment="1">
      <alignment horizontal="right" vertical="center" shrinkToFit="1"/>
    </xf>
    <xf numFmtId="188" fontId="27" fillId="0" borderId="55" xfId="52" applyNumberFormat="1" applyFont="1" applyFill="1" applyBorder="1" applyAlignment="1">
      <alignment vertical="center"/>
    </xf>
    <xf numFmtId="188" fontId="27" fillId="0" borderId="55" xfId="52" applyNumberFormat="1" applyFont="1" applyBorder="1" applyAlignment="1">
      <alignment vertical="center"/>
    </xf>
    <xf numFmtId="0" fontId="26" fillId="0" borderId="0" xfId="61" applyFont="1" applyAlignment="1">
      <alignment horizontal="center" vertical="center"/>
    </xf>
    <xf numFmtId="0" fontId="26" fillId="0" borderId="56" xfId="61" applyFont="1" applyBorder="1" applyAlignment="1">
      <alignment vertical="center" justifyLastLine="1"/>
    </xf>
    <xf numFmtId="188" fontId="26" fillId="0" borderId="60" xfId="52" applyNumberFormat="1" applyFont="1" applyBorder="1" applyAlignment="1">
      <alignment vertical="center"/>
    </xf>
    <xf numFmtId="0" fontId="21" fillId="0" borderId="0" xfId="61" applyFont="1" applyAlignment="1">
      <alignment horizontal="centerContinuous" vertical="center" shrinkToFit="1"/>
    </xf>
    <xf numFmtId="0" fontId="34" fillId="0" borderId="0" xfId="61" applyFont="1" applyAlignment="1">
      <alignment horizontal="centerContinuous" vertical="center"/>
    </xf>
    <xf numFmtId="0" fontId="21" fillId="0" borderId="27" xfId="61" applyFont="1" applyBorder="1" applyAlignment="1">
      <alignment horizontal="centerContinuous" vertical="center"/>
    </xf>
    <xf numFmtId="0" fontId="21" fillId="0" borderId="25" xfId="61" applyFont="1" applyBorder="1" applyAlignment="1">
      <alignment horizontal="centerContinuous" vertical="center" shrinkToFit="1"/>
    </xf>
    <xf numFmtId="187" fontId="21" fillId="0" borderId="25" xfId="52" applyNumberFormat="1" applyFont="1" applyBorder="1" applyAlignment="1">
      <alignment horizontal="centerContinuous" vertical="center"/>
    </xf>
    <xf numFmtId="187" fontId="21" fillId="0" borderId="0" xfId="52" applyNumberFormat="1" applyFont="1" applyBorder="1" applyAlignment="1">
      <alignment horizontal="centerContinuous" vertical="center"/>
    </xf>
    <xf numFmtId="0" fontId="27" fillId="0" borderId="0" xfId="61" applyFont="1" applyAlignment="1">
      <alignment horizontal="distributed" vertical="center"/>
    </xf>
    <xf numFmtId="0" fontId="26" fillId="0" borderId="34" xfId="61" applyFont="1" applyBorder="1" applyAlignment="1">
      <alignment horizontal="distributed" vertical="center" justifyLastLine="1"/>
    </xf>
    <xf numFmtId="0" fontId="26" fillId="0" borderId="33" xfId="61" applyFont="1" applyBorder="1" applyAlignment="1">
      <alignment horizontal="distributed" vertical="center" justifyLastLine="1"/>
    </xf>
    <xf numFmtId="0" fontId="26" fillId="0" borderId="35" xfId="61" applyFont="1" applyBorder="1" applyAlignment="1">
      <alignment horizontal="distributed" vertical="center" justifyLastLine="1"/>
    </xf>
    <xf numFmtId="0" fontId="26" fillId="0" borderId="0" xfId="61" applyFont="1" applyAlignment="1">
      <alignment horizontal="distributed" vertical="center"/>
    </xf>
    <xf numFmtId="0" fontId="26" fillId="0" borderId="40" xfId="61" applyFont="1" applyBorder="1" applyAlignment="1">
      <alignment horizontal="distributed" vertical="center" justifyLastLine="1"/>
    </xf>
    <xf numFmtId="0" fontId="26" fillId="0" borderId="19" xfId="61" applyFont="1" applyBorder="1" applyAlignment="1">
      <alignment horizontal="distributed" vertical="center" justifyLastLine="1"/>
    </xf>
    <xf numFmtId="0" fontId="26" fillId="0" borderId="18" xfId="61" applyFont="1" applyBorder="1" applyAlignment="1">
      <alignment horizontal="distributed" vertical="center" justifyLastLine="1"/>
    </xf>
    <xf numFmtId="0" fontId="26" fillId="0" borderId="22" xfId="61" applyFont="1" applyBorder="1" applyAlignment="1">
      <alignment horizontal="distributed" vertical="center" justifyLastLine="1"/>
    </xf>
    <xf numFmtId="0" fontId="26" fillId="0" borderId="21" xfId="61" applyFont="1" applyBorder="1" applyAlignment="1">
      <alignment horizontal="distributed" vertical="center" justifyLastLine="1"/>
    </xf>
    <xf numFmtId="0" fontId="26" fillId="0" borderId="20" xfId="61" applyFont="1" applyBorder="1" applyAlignment="1">
      <alignment horizontal="distributed" vertical="center" justifyLastLine="1"/>
    </xf>
    <xf numFmtId="0" fontId="26" fillId="0" borderId="22" xfId="61" applyFont="1" applyBorder="1" applyAlignment="1">
      <alignment horizontal="distributed" vertical="center"/>
    </xf>
    <xf numFmtId="0" fontId="26" fillId="0" borderId="21" xfId="61" applyFont="1" applyBorder="1" applyAlignment="1">
      <alignment horizontal="distributed" vertical="center"/>
    </xf>
    <xf numFmtId="0" fontId="26" fillId="0" borderId="34" xfId="61" applyFont="1" applyBorder="1" applyAlignment="1">
      <alignment horizontal="distributed" vertical="center" indent="5"/>
    </xf>
    <xf numFmtId="0" fontId="26" fillId="0" borderId="33" xfId="61" applyFont="1" applyBorder="1" applyAlignment="1">
      <alignment horizontal="distributed" vertical="center" indent="5"/>
    </xf>
    <xf numFmtId="0" fontId="26" fillId="0" borderId="41" xfId="61" applyFont="1" applyBorder="1" applyAlignment="1">
      <alignment horizontal="distributed" vertical="center" indent="5"/>
    </xf>
    <xf numFmtId="0" fontId="26" fillId="0" borderId="13" xfId="61" applyFont="1" applyBorder="1" applyAlignment="1">
      <alignment horizontal="distributed" vertical="center" justifyLastLine="1"/>
    </xf>
    <xf numFmtId="188" fontId="26" fillId="0" borderId="17" xfId="61" applyNumberFormat="1" applyFont="1" applyBorder="1" applyAlignment="1">
      <alignment horizontal="distributed" vertical="center" justifyLastLine="1"/>
    </xf>
    <xf numFmtId="188" fontId="26" fillId="0" borderId="18" xfId="61" applyNumberFormat="1" applyFont="1" applyBorder="1" applyAlignment="1">
      <alignment horizontal="distributed" vertical="center" justifyLastLine="1"/>
    </xf>
    <xf numFmtId="0" fontId="26" fillId="0" borderId="15" xfId="61" applyFont="1" applyBorder="1" applyAlignment="1">
      <alignment horizontal="distributed" vertical="center"/>
    </xf>
    <xf numFmtId="0" fontId="26" fillId="0" borderId="43" xfId="61" applyFont="1" applyBorder="1" applyAlignment="1">
      <alignment horizontal="center" vertical="center"/>
    </xf>
    <xf numFmtId="0" fontId="26" fillId="0" borderId="44" xfId="61" applyFont="1" applyBorder="1" applyAlignment="1">
      <alignment horizontal="center" vertical="center"/>
    </xf>
    <xf numFmtId="0" fontId="26" fillId="0" borderId="10" xfId="61" applyFont="1" applyBorder="1" applyAlignment="1">
      <alignment horizontal="center" vertical="center"/>
    </xf>
    <xf numFmtId="0" fontId="26" fillId="0" borderId="27" xfId="61" applyFont="1" applyBorder="1" applyAlignment="1">
      <alignment horizontal="center" vertical="center"/>
    </xf>
    <xf numFmtId="0" fontId="26" fillId="0" borderId="13" xfId="61" applyFont="1" applyBorder="1" applyAlignment="1">
      <alignment horizontal="center" vertical="center"/>
    </xf>
    <xf numFmtId="0" fontId="26" fillId="0" borderId="45" xfId="61" applyFont="1" applyBorder="1" applyAlignment="1">
      <alignment horizontal="center" vertical="center"/>
    </xf>
    <xf numFmtId="0" fontId="27" fillId="0" borderId="16" xfId="61" applyFont="1" applyBorder="1" applyAlignment="1">
      <alignment horizontal="center" vertical="center"/>
    </xf>
    <xf numFmtId="188" fontId="27" fillId="0" borderId="16" xfId="61" applyNumberFormat="1" applyFont="1" applyBorder="1" applyAlignment="1">
      <alignment horizontal="center" vertical="center" wrapText="1"/>
    </xf>
    <xf numFmtId="188" fontId="27" fillId="0" borderId="16" xfId="61" applyNumberFormat="1" applyFont="1" applyBorder="1" applyAlignment="1">
      <alignment horizontal="center" vertical="center"/>
    </xf>
    <xf numFmtId="187" fontId="27" fillId="0" borderId="16" xfId="61" applyNumberFormat="1" applyFont="1" applyBorder="1" applyAlignment="1">
      <alignment horizontal="center" vertical="center" wrapText="1"/>
    </xf>
    <xf numFmtId="0" fontId="40" fillId="0" borderId="0" xfId="61" applyFont="1" applyAlignment="1">
      <alignment horizontal="distributed" vertical="center"/>
    </xf>
    <xf numFmtId="0" fontId="39" fillId="0" borderId="0" xfId="61" applyFont="1" applyAlignment="1">
      <alignment horizontal="distributed" vertical="center"/>
    </xf>
    <xf numFmtId="0" fontId="39" fillId="0" borderId="34" xfId="61" applyFont="1" applyBorder="1" applyAlignment="1">
      <alignment horizontal="distributed" vertical="center" justifyLastLine="1"/>
    </xf>
    <xf numFmtId="0" fontId="39" fillId="0" borderId="50" xfId="61" applyFont="1" applyBorder="1" applyAlignment="1">
      <alignment horizontal="distributed" vertical="center" justifyLastLine="1"/>
    </xf>
    <xf numFmtId="0" fontId="26" fillId="0" borderId="51" xfId="61" applyFont="1" applyBorder="1" applyAlignment="1">
      <alignment horizontal="distributed" vertical="center" justifyLastLine="1"/>
    </xf>
    <xf numFmtId="0" fontId="26" fillId="0" borderId="52" xfId="61" applyFont="1" applyBorder="1" applyAlignment="1">
      <alignment horizontal="distributed" vertical="center" justifyLastLine="1"/>
    </xf>
    <xf numFmtId="0" fontId="26" fillId="0" borderId="31" xfId="61" applyFont="1" applyBorder="1" applyAlignment="1">
      <alignment horizontal="distributed" vertical="center" justifyLastLine="1"/>
    </xf>
    <xf numFmtId="0" fontId="26" fillId="0" borderId="30" xfId="61" applyFont="1" applyBorder="1" applyAlignment="1">
      <alignment horizontal="distributed" vertical="center" justifyLastLine="1"/>
    </xf>
    <xf numFmtId="0" fontId="26" fillId="0" borderId="29" xfId="61" applyFont="1" applyBorder="1" applyAlignment="1">
      <alignment horizontal="distributed" vertical="center" justifyLastLine="1"/>
    </xf>
    <xf numFmtId="0" fontId="26" fillId="0" borderId="54" xfId="61" applyFont="1" applyBorder="1" applyAlignment="1">
      <alignment horizontal="distributed" vertical="center" justifyLastLine="1"/>
    </xf>
    <xf numFmtId="0" fontId="27" fillId="0" borderId="0" xfId="61" applyFont="1" applyAlignment="1">
      <alignment horizontal="distributed" vertical="center" wrapText="1"/>
    </xf>
    <xf numFmtId="0" fontId="26" fillId="0" borderId="57" xfId="61" applyFont="1" applyBorder="1" applyAlignment="1">
      <alignment horizontal="distributed" vertical="center" justifyLastLine="1"/>
    </xf>
    <xf numFmtId="0" fontId="26" fillId="0" borderId="58" xfId="61" applyFont="1" applyBorder="1" applyAlignment="1">
      <alignment horizontal="distributed" vertical="center" justifyLastLine="1"/>
    </xf>
    <xf numFmtId="0" fontId="26" fillId="0" borderId="59" xfId="61" applyFont="1" applyBorder="1" applyAlignment="1">
      <alignment horizontal="distributed" vertical="center" justifyLastLine="1"/>
    </xf>
    <xf numFmtId="0" fontId="24" fillId="0" borderId="34" xfId="61" applyFont="1" applyBorder="1" applyAlignment="1">
      <alignment horizontal="distributed" vertical="center" indent="5"/>
    </xf>
    <xf numFmtId="0" fontId="24" fillId="0" borderId="33" xfId="61" applyFont="1" applyBorder="1" applyAlignment="1">
      <alignment horizontal="distributed" vertical="center" indent="5"/>
    </xf>
    <xf numFmtId="0" fontId="24" fillId="0" borderId="41" xfId="61" applyFont="1" applyBorder="1" applyAlignment="1">
      <alignment horizontal="distributed" vertical="center" indent="5"/>
    </xf>
    <xf numFmtId="0" fontId="24" fillId="0" borderId="34" xfId="61" applyFont="1" applyBorder="1" applyAlignment="1">
      <alignment horizontal="distributed" vertical="center" justifyLastLine="1"/>
    </xf>
    <xf numFmtId="0" fontId="24" fillId="0" borderId="33" xfId="61" applyFont="1" applyBorder="1" applyAlignment="1">
      <alignment horizontal="distributed" vertical="center" justifyLastLine="1"/>
    </xf>
    <xf numFmtId="0" fontId="24" fillId="0" borderId="35" xfId="61" applyFont="1" applyBorder="1" applyAlignment="1">
      <alignment horizontal="distributed" vertical="center" justifyLastLine="1"/>
    </xf>
    <xf numFmtId="0" fontId="24" fillId="0" borderId="0" xfId="61" applyFont="1" applyAlignment="1">
      <alignment horizontal="distributed" vertical="center"/>
    </xf>
    <xf numFmtId="0" fontId="21" fillId="0" borderId="0" xfId="61" applyFont="1" applyAlignment="1">
      <alignment horizontal="distributed" vertical="center"/>
    </xf>
    <xf numFmtId="0" fontId="21" fillId="0" borderId="0" xfId="61" applyFont="1" applyAlignment="1">
      <alignment horizontal="center" vertical="center"/>
    </xf>
    <xf numFmtId="0" fontId="24" fillId="0" borderId="40" xfId="61" applyFont="1" applyBorder="1" applyAlignment="1">
      <alignment horizontal="distributed" vertical="center" justifyLastLine="1"/>
    </xf>
    <xf numFmtId="0" fontId="24" fillId="0" borderId="19" xfId="61" applyFont="1" applyBorder="1" applyAlignment="1">
      <alignment horizontal="distributed" vertical="center" justifyLastLine="1"/>
    </xf>
    <xf numFmtId="0" fontId="24" fillId="0" borderId="18" xfId="61" applyFont="1" applyBorder="1" applyAlignment="1">
      <alignment horizontal="distributed" vertical="center" justifyLastLine="1"/>
    </xf>
    <xf numFmtId="0" fontId="24" fillId="0" borderId="22" xfId="61" applyFont="1" applyBorder="1" applyAlignment="1">
      <alignment horizontal="distributed" vertical="center" justifyLastLine="1"/>
    </xf>
    <xf numFmtId="0" fontId="24" fillId="0" borderId="21" xfId="61" applyFont="1" applyBorder="1" applyAlignment="1">
      <alignment horizontal="distributed" vertical="center" justifyLastLine="1"/>
    </xf>
    <xf numFmtId="0" fontId="24" fillId="0" borderId="20" xfId="61" applyFont="1" applyBorder="1" applyAlignment="1">
      <alignment horizontal="distributed" vertical="center" justifyLastLine="1"/>
    </xf>
    <xf numFmtId="0" fontId="24" fillId="0" borderId="22" xfId="61" applyFont="1" applyBorder="1" applyAlignment="1">
      <alignment horizontal="distributed" vertical="center"/>
    </xf>
    <xf numFmtId="0" fontId="24" fillId="0" borderId="21" xfId="61" applyFont="1" applyBorder="1" applyAlignment="1">
      <alignment horizontal="distributed" vertical="center"/>
    </xf>
    <xf numFmtId="0" fontId="30" fillId="0" borderId="0" xfId="61" applyFont="1" applyAlignment="1">
      <alignment horizontal="distributed" vertical="center" shrinkToFit="1"/>
    </xf>
    <xf numFmtId="0" fontId="32" fillId="0" borderId="0" xfId="61" applyFont="1" applyAlignment="1">
      <alignment vertical="center" shrinkToFit="1"/>
    </xf>
    <xf numFmtId="0" fontId="43" fillId="0" borderId="0" xfId="61" applyFont="1" applyAlignment="1">
      <alignment vertical="center" shrinkToFit="1"/>
    </xf>
  </cellXfs>
  <cellStyles count="66">
    <cellStyle name="#,##0" xfId="1" xr:uid="{00000000-0005-0000-0000-000000000000}"/>
    <cellStyle name="#,##0.0" xfId="2" xr:uid="{00000000-0005-0000-0000-000001000000}"/>
    <cellStyle name="#,##0.00" xfId="3" xr:uid="{00000000-0005-0000-0000-000002000000}"/>
    <cellStyle name="#,##0.000" xfId="4" xr:uid="{00000000-0005-0000-0000-000003000000}"/>
    <cellStyle name="#,##0.0000" xfId="5" xr:uid="{00000000-0005-0000-0000-000004000000}"/>
    <cellStyle name="0%" xfId="6" xr:uid="{00000000-0005-0000-0000-000005000000}"/>
    <cellStyle name="0.0%" xfId="7" xr:uid="{00000000-0005-0000-0000-000006000000}"/>
    <cellStyle name="0.00%" xfId="8" xr:uid="{00000000-0005-0000-0000-000007000000}"/>
    <cellStyle name="20% - アクセント 1" xfId="9" builtinId="30" customBuiltin="1"/>
    <cellStyle name="20% - アクセント 2" xfId="10" builtinId="34" customBuiltin="1"/>
    <cellStyle name="20% - アクセント 3" xfId="11" builtinId="38" customBuiltin="1"/>
    <cellStyle name="20% - アクセント 4" xfId="12" builtinId="42" customBuiltin="1"/>
    <cellStyle name="20% - アクセント 5" xfId="13" builtinId="46" customBuiltin="1"/>
    <cellStyle name="20% - アクセント 6" xfId="14" builtinId="50" customBuiltin="1"/>
    <cellStyle name="40% - アクセント 1" xfId="15" builtinId="31" customBuiltin="1"/>
    <cellStyle name="40% - アクセント 2" xfId="16" builtinId="35" customBuiltin="1"/>
    <cellStyle name="40% - アクセント 3" xfId="17" builtinId="39" customBuiltin="1"/>
    <cellStyle name="40% - アクセント 4" xfId="18" builtinId="43" customBuiltin="1"/>
    <cellStyle name="40% - アクセント 5" xfId="19" builtinId="47" customBuiltin="1"/>
    <cellStyle name="40% - アクセント 6" xfId="20" builtinId="51" customBuiltin="1"/>
    <cellStyle name="60% - アクセント 1" xfId="21" builtinId="32" customBuiltin="1"/>
    <cellStyle name="60% - アクセント 2" xfId="22" builtinId="36" customBuiltin="1"/>
    <cellStyle name="60% - アクセント 3" xfId="23" builtinId="40" customBuiltin="1"/>
    <cellStyle name="60% - アクセント 4" xfId="24" builtinId="44" customBuiltin="1"/>
    <cellStyle name="60% - アクセント 5" xfId="25" builtinId="48" customBuiltin="1"/>
    <cellStyle name="60% - アクセント 6" xfId="26" builtinId="52" customBuiltin="1"/>
    <cellStyle name="blank 0" xfId="27" xr:uid="{00000000-0005-0000-0000-00001A000000}"/>
    <cellStyle name="blank 0%" xfId="28" xr:uid="{00000000-0005-0000-0000-00001B000000}"/>
    <cellStyle name="blank 0.0" xfId="29" xr:uid="{00000000-0005-0000-0000-00001C000000}"/>
    <cellStyle name="blank 0.0%" xfId="30" xr:uid="{00000000-0005-0000-0000-00001D000000}"/>
    <cellStyle name="blank 0.00" xfId="31" xr:uid="{00000000-0005-0000-0000-00001E000000}"/>
    <cellStyle name="blank 0.00%" xfId="32" xr:uid="{00000000-0005-0000-0000-00001F000000}"/>
    <cellStyle name="General" xfId="33" xr:uid="{00000000-0005-0000-0000-000020000000}"/>
    <cellStyle name="lock" xfId="34" xr:uid="{00000000-0005-0000-0000-000021000000}"/>
    <cellStyle name="m/d/yy" xfId="35" xr:uid="{00000000-0005-0000-0000-000022000000}"/>
    <cellStyle name="unlock" xfId="36" xr:uid="{00000000-0005-0000-0000-000023000000}"/>
    <cellStyle name="アクセント 1" xfId="37" builtinId="29" customBuiltin="1"/>
    <cellStyle name="アクセント 2" xfId="38" builtinId="33" customBuiltin="1"/>
    <cellStyle name="アクセント 3" xfId="39" builtinId="37" customBuiltin="1"/>
    <cellStyle name="アクセント 4" xfId="40" builtinId="41" customBuiltin="1"/>
    <cellStyle name="アクセント 5" xfId="41" builtinId="45" customBuiltin="1"/>
    <cellStyle name="アクセント 6" xfId="42" builtinId="49" customBuiltin="1"/>
    <cellStyle name="タイトル" xfId="43" builtinId="15" customBuiltin="1"/>
    <cellStyle name="チェック セル" xfId="44" builtinId="23" customBuiltin="1"/>
    <cellStyle name="どちらでもない" xfId="45" builtinId="28" customBuiltin="1"/>
    <cellStyle name="パーセント" xfId="46" builtinId="5"/>
    <cellStyle name="メモ" xfId="47" builtinId="10" customBuiltin="1"/>
    <cellStyle name="リンク セル" xfId="48" builtinId="24" customBuiltin="1"/>
    <cellStyle name="悪い" xfId="49" builtinId="27" customBuiltin="1"/>
    <cellStyle name="計算" xfId="50" builtinId="22" customBuiltin="1"/>
    <cellStyle name="警告文" xfId="51" builtinId="11" customBuiltin="1"/>
    <cellStyle name="桁区切り" xfId="52" builtinId="6"/>
    <cellStyle name="桁区切り 2" xfId="65" xr:uid="{84065C3C-8DC3-4A6B-A789-09829163ECEE}"/>
    <cellStyle name="見出し 1" xfId="53" builtinId="16" customBuiltin="1"/>
    <cellStyle name="見出し 2" xfId="54" builtinId="17" customBuiltin="1"/>
    <cellStyle name="見出し 3" xfId="55" builtinId="18" customBuiltin="1"/>
    <cellStyle name="見出し 4" xfId="56" builtinId="19" customBuiltin="1"/>
    <cellStyle name="集計" xfId="57" builtinId="25" customBuiltin="1"/>
    <cellStyle name="出力" xfId="58" builtinId="21" customBuiltin="1"/>
    <cellStyle name="説明文" xfId="59" builtinId="53" customBuiltin="1"/>
    <cellStyle name="入力" xfId="60" builtinId="20" customBuiltin="1"/>
    <cellStyle name="標準" xfId="0" builtinId="0"/>
    <cellStyle name="標準 2" xfId="64" xr:uid="{407FC58C-B999-4580-A11F-826C02A525D8}"/>
    <cellStyle name="標準_財務諸表0503R" xfId="61" xr:uid="{00000000-0005-0000-0000-00003D000000}"/>
    <cellStyle name="平成年月日" xfId="62" xr:uid="{00000000-0005-0000-0000-00003E000000}"/>
    <cellStyle name="良い" xfId="6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C-MW2055\00&#24180;9&#26376;&#26399;&#36899;\My%20Documents\document\00&#24180;3&#26376;&#26399;&#36899;&#32080;\&#12522;&#12540;&#12473;&#21462;&#243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有報リ-ス00"/>
      <sheetName val="短信リ-ス00"/>
      <sheetName val="集計00"/>
      <sheetName val="有報リ-ス99"/>
      <sheetName val="リース説明"/>
      <sheetName val="Sheet3"/>
      <sheetName val="Sheet4"/>
      <sheetName val="Sheet5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4DEE-719E-4435-8C10-B0222B4B260D}">
  <sheetPr>
    <tabColor theme="8" tint="0.79998168889431442"/>
    <pageSetUpPr fitToPage="1"/>
  </sheetPr>
  <dimension ref="B1:M31"/>
  <sheetViews>
    <sheetView showGridLines="0" tabSelected="1" view="pageBreakPreview" zoomScaleNormal="75" zoomScaleSheetLayoutView="100" workbookViewId="0">
      <selection activeCell="K10" sqref="K10:M10"/>
    </sheetView>
  </sheetViews>
  <sheetFormatPr defaultColWidth="9" defaultRowHeight="14.25"/>
  <cols>
    <col min="1" max="1" width="3.375" style="4" customWidth="1"/>
    <col min="2" max="2" width="2.625" style="1" customWidth="1"/>
    <col min="3" max="3" width="4.625" style="1" bestFit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18" style="4" customWidth="1"/>
    <col min="10" max="16384" width="9" style="4"/>
  </cols>
  <sheetData>
    <row r="1" spans="2:13" ht="21" customHeight="1">
      <c r="B1" s="47"/>
      <c r="C1" s="48"/>
      <c r="D1" s="48"/>
      <c r="E1" s="48"/>
      <c r="F1" s="48"/>
      <c r="G1" s="49"/>
      <c r="H1" s="50"/>
    </row>
    <row r="2" spans="2:13" ht="21" customHeight="1">
      <c r="B2" s="51"/>
      <c r="H2" s="52"/>
    </row>
    <row r="3" spans="2:13" ht="21" customHeight="1">
      <c r="B3" s="51"/>
      <c r="H3" s="52"/>
    </row>
    <row r="4" spans="2:13" ht="21" customHeight="1">
      <c r="B4" s="51"/>
      <c r="H4" s="52"/>
    </row>
    <row r="5" spans="2:13" ht="21" customHeight="1">
      <c r="B5" s="51"/>
      <c r="H5" s="52"/>
    </row>
    <row r="6" spans="2:13" ht="21" customHeight="1">
      <c r="B6" s="51"/>
      <c r="H6" s="52"/>
    </row>
    <row r="7" spans="2:13" s="7" customFormat="1" ht="32.25">
      <c r="B7" s="74" t="s">
        <v>0</v>
      </c>
      <c r="C7" s="5"/>
      <c r="D7" s="5"/>
      <c r="E7" s="5"/>
      <c r="F7" s="5"/>
      <c r="G7" s="6"/>
      <c r="H7" s="53"/>
    </row>
    <row r="8" spans="2:13" s="7" customFormat="1" ht="16.7" customHeight="1">
      <c r="B8" s="54"/>
      <c r="C8" s="5"/>
      <c r="D8" s="5"/>
      <c r="E8" s="5"/>
      <c r="F8" s="5"/>
      <c r="G8" s="6"/>
      <c r="H8" s="53"/>
    </row>
    <row r="9" spans="2:13" s="7" customFormat="1" ht="17.25" customHeight="1">
      <c r="B9" s="55"/>
      <c r="C9" s="11"/>
      <c r="D9" s="11"/>
      <c r="E9" s="11"/>
      <c r="F9" s="11"/>
      <c r="G9" s="37"/>
      <c r="H9" s="56"/>
    </row>
    <row r="10" spans="2:13" s="11" customFormat="1" ht="36" customHeight="1">
      <c r="B10" s="75" t="s">
        <v>150</v>
      </c>
      <c r="C10" s="59"/>
      <c r="D10" s="59"/>
      <c r="E10" s="59"/>
      <c r="F10" s="59"/>
      <c r="G10" s="60"/>
      <c r="H10" s="61"/>
      <c r="K10" s="280"/>
      <c r="L10" s="280"/>
      <c r="M10" s="280"/>
    </row>
    <row r="11" spans="2:13" s="11" customFormat="1" ht="24.75" customHeight="1">
      <c r="B11" s="75" t="s">
        <v>151</v>
      </c>
      <c r="C11" s="59"/>
      <c r="D11" s="59"/>
      <c r="E11" s="59"/>
      <c r="F11" s="59"/>
      <c r="G11" s="60"/>
      <c r="H11" s="61"/>
    </row>
    <row r="12" spans="2:13" s="41" customFormat="1" ht="24.75" customHeight="1">
      <c r="B12" s="75" t="s">
        <v>152</v>
      </c>
      <c r="C12" s="62"/>
      <c r="D12" s="63"/>
      <c r="E12" s="63"/>
      <c r="F12" s="63"/>
      <c r="G12" s="64"/>
      <c r="H12" s="65"/>
    </row>
    <row r="13" spans="2:13" s="41" customFormat="1" ht="24.75" customHeight="1">
      <c r="B13" s="57"/>
      <c r="C13" s="42"/>
      <c r="D13" s="38"/>
      <c r="E13" s="38"/>
      <c r="F13" s="38"/>
      <c r="G13" s="40"/>
      <c r="H13" s="58"/>
    </row>
    <row r="14" spans="2:13" s="41" customFormat="1" ht="24.75" customHeight="1">
      <c r="B14" s="57"/>
      <c r="C14" s="39"/>
      <c r="D14" s="38"/>
      <c r="E14" s="38"/>
      <c r="F14" s="38"/>
      <c r="G14" s="40"/>
      <c r="H14" s="58"/>
    </row>
    <row r="15" spans="2:13" s="41" customFormat="1" ht="24.75" customHeight="1">
      <c r="B15" s="57"/>
      <c r="C15" s="39"/>
      <c r="D15" s="38"/>
      <c r="E15" s="38"/>
      <c r="F15" s="38"/>
      <c r="G15" s="40"/>
      <c r="H15" s="58"/>
    </row>
    <row r="16" spans="2:13" s="41" customFormat="1" ht="24.75" customHeight="1">
      <c r="B16" s="57"/>
      <c r="C16" s="39"/>
      <c r="D16" s="38"/>
      <c r="E16" s="38"/>
      <c r="F16" s="38"/>
      <c r="G16" s="40"/>
      <c r="H16" s="58"/>
    </row>
    <row r="17" spans="2:8" s="41" customFormat="1" ht="24.75" customHeight="1">
      <c r="B17" s="57"/>
      <c r="C17" s="39"/>
      <c r="D17" s="38"/>
      <c r="E17" s="38"/>
      <c r="F17" s="38"/>
      <c r="G17" s="40"/>
      <c r="H17" s="58"/>
    </row>
    <row r="18" spans="2:8" s="41" customFormat="1" ht="24.75" customHeight="1">
      <c r="B18" s="57"/>
      <c r="C18" s="42"/>
      <c r="D18" s="38"/>
      <c r="E18" s="38"/>
      <c r="F18" s="38"/>
      <c r="G18" s="40"/>
      <c r="H18" s="58"/>
    </row>
    <row r="19" spans="2:8" s="41" customFormat="1" ht="24.75" customHeight="1">
      <c r="B19" s="57"/>
      <c r="C19" s="39"/>
      <c r="D19" s="38"/>
      <c r="E19" s="38"/>
      <c r="F19" s="38"/>
      <c r="G19" s="40"/>
      <c r="H19" s="58"/>
    </row>
    <row r="20" spans="2:8" s="41" customFormat="1" ht="24.75" customHeight="1">
      <c r="B20" s="57"/>
      <c r="C20" s="39"/>
      <c r="D20" s="38"/>
      <c r="E20" s="38"/>
      <c r="F20" s="38"/>
      <c r="G20" s="40"/>
      <c r="H20" s="58"/>
    </row>
    <row r="21" spans="2:8" s="41" customFormat="1" ht="24.75" customHeight="1">
      <c r="B21" s="57"/>
      <c r="C21" s="42"/>
      <c r="D21" s="38"/>
      <c r="E21" s="38"/>
      <c r="F21" s="38"/>
      <c r="G21" s="40"/>
      <c r="H21" s="58"/>
    </row>
    <row r="22" spans="2:8" s="41" customFormat="1" ht="24.75" customHeight="1">
      <c r="B22" s="73" t="s">
        <v>159</v>
      </c>
      <c r="C22" s="66"/>
      <c r="D22" s="63"/>
      <c r="E22" s="63"/>
      <c r="F22" s="63"/>
      <c r="G22" s="64"/>
      <c r="H22" s="65"/>
    </row>
    <row r="23" spans="2:8" s="41" customFormat="1" ht="24.75" customHeight="1">
      <c r="B23" s="73"/>
      <c r="C23" s="66"/>
      <c r="D23" s="63"/>
      <c r="E23" s="63"/>
      <c r="F23" s="63"/>
      <c r="G23" s="64"/>
      <c r="H23" s="65"/>
    </row>
    <row r="24" spans="2:8" s="41" customFormat="1" ht="24.75" customHeight="1">
      <c r="B24" s="73" t="s">
        <v>1</v>
      </c>
      <c r="C24" s="66"/>
      <c r="D24" s="63"/>
      <c r="E24" s="63"/>
      <c r="F24" s="63"/>
      <c r="G24" s="64"/>
      <c r="H24" s="65"/>
    </row>
    <row r="25" spans="2:8" s="41" customFormat="1" ht="24.75" customHeight="1">
      <c r="B25" s="57"/>
      <c r="C25" s="43"/>
      <c r="D25" s="38"/>
      <c r="E25" s="38"/>
      <c r="F25" s="38"/>
      <c r="G25" s="44"/>
      <c r="H25" s="58"/>
    </row>
    <row r="26" spans="2:8" s="41" customFormat="1" ht="24.75" customHeight="1">
      <c r="B26" s="57"/>
      <c r="C26" s="43"/>
      <c r="D26" s="38"/>
      <c r="E26" s="38"/>
      <c r="F26" s="38"/>
      <c r="G26" s="44"/>
      <c r="H26" s="58"/>
    </row>
    <row r="27" spans="2:8" s="41" customFormat="1" ht="24.75" customHeight="1">
      <c r="B27" s="73"/>
      <c r="C27" s="66"/>
      <c r="D27" s="63"/>
      <c r="E27" s="67"/>
      <c r="F27" s="63"/>
      <c r="G27" s="64"/>
      <c r="H27" s="65"/>
    </row>
    <row r="28" spans="2:8" s="41" customFormat="1" ht="24.75" customHeight="1" thickBot="1">
      <c r="B28" s="68"/>
      <c r="C28" s="69"/>
      <c r="D28" s="70"/>
      <c r="E28" s="70"/>
      <c r="F28" s="70"/>
      <c r="G28" s="71"/>
      <c r="H28" s="72"/>
    </row>
    <row r="31" spans="2:8">
      <c r="H31" s="10"/>
    </row>
  </sheetData>
  <phoneticPr fontId="29"/>
  <printOptions horizontalCentered="1" vertic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6DBB-8AF4-436F-86F4-1BF6BF84A0B2}">
  <sheetPr>
    <tabColor theme="8" tint="0.79998168889431442"/>
    <pageSetUpPr fitToPage="1"/>
  </sheetPr>
  <dimension ref="B1:Q55"/>
  <sheetViews>
    <sheetView showGridLines="0" tabSelected="1" view="pageBreakPreview" zoomScaleNormal="75" zoomScaleSheetLayoutView="100" workbookViewId="0">
      <pane ySplit="6" topLeftCell="A7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2.625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4.375" style="1" customWidth="1"/>
    <col min="14" max="14" width="1.125" style="1" customWidth="1"/>
    <col min="15" max="15" width="20.875" style="82" customWidth="1"/>
    <col min="16" max="16" width="17.875" style="1" bestFit="1" customWidth="1"/>
    <col min="17" max="17" width="17.125" style="1" bestFit="1" customWidth="1"/>
    <col min="18" max="16384" width="9" style="1"/>
  </cols>
  <sheetData>
    <row r="1" spans="2:17" ht="21" customHeight="1"/>
    <row r="2" spans="2:17" ht="21">
      <c r="B2" s="2" t="s">
        <v>2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7" ht="17.25" customHeight="1">
      <c r="B3" s="8" t="s">
        <v>153</v>
      </c>
      <c r="C3" s="32"/>
      <c r="D3" s="32"/>
      <c r="E3" s="32"/>
      <c r="F3" s="32"/>
      <c r="G3" s="142"/>
      <c r="H3" s="32"/>
      <c r="I3" s="32"/>
      <c r="J3" s="32"/>
      <c r="K3" s="32"/>
      <c r="L3" s="32"/>
      <c r="M3" s="32"/>
      <c r="N3" s="32"/>
      <c r="O3" s="84"/>
    </row>
    <row r="4" spans="2:17" ht="17.25" customHeight="1" thickBot="1">
      <c r="B4" s="33" t="s">
        <v>3</v>
      </c>
      <c r="C4" s="33"/>
      <c r="D4" s="33"/>
      <c r="E4" s="33"/>
      <c r="F4" s="33"/>
      <c r="G4" s="85"/>
      <c r="H4" s="33"/>
      <c r="I4" s="33"/>
      <c r="J4" s="33"/>
      <c r="K4" s="33"/>
      <c r="L4" s="33"/>
      <c r="M4" s="33"/>
      <c r="N4" s="33"/>
      <c r="O4" s="93" t="s">
        <v>4</v>
      </c>
    </row>
    <row r="5" spans="2:17" ht="18" customHeight="1" thickBot="1">
      <c r="B5" s="230" t="s">
        <v>5</v>
      </c>
      <c r="C5" s="231"/>
      <c r="D5" s="231"/>
      <c r="E5" s="231"/>
      <c r="F5" s="231"/>
      <c r="G5" s="232"/>
      <c r="H5" s="230" t="s">
        <v>6</v>
      </c>
      <c r="I5" s="231"/>
      <c r="J5" s="231"/>
      <c r="K5" s="231"/>
      <c r="L5" s="231"/>
      <c r="M5" s="231"/>
      <c r="N5" s="231"/>
      <c r="O5" s="232"/>
    </row>
    <row r="6" spans="2:17" ht="18" customHeight="1" thickBot="1">
      <c r="B6" s="218" t="s">
        <v>7</v>
      </c>
      <c r="C6" s="219"/>
      <c r="D6" s="219"/>
      <c r="E6" s="219"/>
      <c r="F6" s="220"/>
      <c r="G6" s="171" t="s">
        <v>8</v>
      </c>
      <c r="H6" s="218" t="s">
        <v>7</v>
      </c>
      <c r="I6" s="219"/>
      <c r="J6" s="219"/>
      <c r="K6" s="219"/>
      <c r="L6" s="219"/>
      <c r="M6" s="219"/>
      <c r="N6" s="220"/>
      <c r="O6" s="171" t="s">
        <v>8</v>
      </c>
    </row>
    <row r="7" spans="2:17" ht="18.75" customHeight="1">
      <c r="B7" s="144"/>
      <c r="C7" s="221" t="s">
        <v>9</v>
      </c>
      <c r="D7" s="221"/>
      <c r="E7" s="221"/>
      <c r="F7" s="145"/>
      <c r="G7" s="146">
        <f>ROUNDDOWN('BS（円）'!G7/1000,0)</f>
        <v>48852958</v>
      </c>
      <c r="H7" s="147"/>
      <c r="I7" s="221" t="s">
        <v>10</v>
      </c>
      <c r="J7" s="221"/>
      <c r="K7" s="221"/>
      <c r="L7" s="221"/>
      <c r="M7" s="221"/>
      <c r="N7" s="139"/>
      <c r="O7" s="148">
        <f>ROUNDDOWN('BS（円）'!O7/1000,0)</f>
        <v>6462044</v>
      </c>
      <c r="Q7" s="126"/>
    </row>
    <row r="8" spans="2:17" ht="18.75" customHeight="1">
      <c r="B8" s="144"/>
      <c r="C8" s="149"/>
      <c r="D8" s="14"/>
      <c r="E8" s="113" t="s">
        <v>11</v>
      </c>
      <c r="F8" s="150"/>
      <c r="G8" s="151">
        <f>ROUNDDOWN('BS（円）'!G8/1000,0)</f>
        <v>8666868</v>
      </c>
      <c r="H8" s="152"/>
      <c r="I8" s="153"/>
      <c r="J8" s="153"/>
      <c r="K8" s="217" t="s">
        <v>12</v>
      </c>
      <c r="L8" s="217"/>
      <c r="M8" s="217"/>
      <c r="N8" s="154"/>
      <c r="O8" s="151">
        <f>ROUNDDOWN('BS（円）'!O8/1000,0)</f>
        <v>2951118</v>
      </c>
      <c r="Q8" s="126"/>
    </row>
    <row r="9" spans="2:17" ht="18.75" customHeight="1">
      <c r="B9" s="144"/>
      <c r="C9" s="149"/>
      <c r="D9" s="14"/>
      <c r="E9" s="113" t="s">
        <v>13</v>
      </c>
      <c r="F9" s="150"/>
      <c r="G9" s="151">
        <f>ROUNDDOWN('BS（円）'!G9/1000,0)</f>
        <v>25913063</v>
      </c>
      <c r="H9" s="152"/>
      <c r="I9" s="153"/>
      <c r="J9" s="153"/>
      <c r="K9" s="217" t="s">
        <v>14</v>
      </c>
      <c r="L9" s="217"/>
      <c r="M9" s="217"/>
      <c r="N9" s="154"/>
      <c r="O9" s="151">
        <f>ROUNDDOWN('BS（円）'!O9/1000,0)</f>
        <v>116000</v>
      </c>
      <c r="Q9" s="126"/>
    </row>
    <row r="10" spans="2:17" ht="18.75" customHeight="1">
      <c r="B10" s="144"/>
      <c r="C10" s="149"/>
      <c r="D10" s="14"/>
      <c r="E10" s="113" t="s">
        <v>15</v>
      </c>
      <c r="F10" s="150"/>
      <c r="G10" s="151">
        <f>ROUNDDOWN('BS（円）'!G10/1000,0)</f>
        <v>8048215</v>
      </c>
      <c r="H10" s="152"/>
      <c r="I10" s="153"/>
      <c r="J10" s="153"/>
      <c r="K10" s="278" t="s">
        <v>16</v>
      </c>
      <c r="L10" s="278"/>
      <c r="M10" s="278"/>
      <c r="N10" s="154"/>
      <c r="O10" s="151">
        <f>ROUNDDOWN('BS（円）'!O10/1000,0)</f>
        <v>573964</v>
      </c>
      <c r="Q10" s="126"/>
    </row>
    <row r="11" spans="2:17" ht="18.75" customHeight="1">
      <c r="B11" s="144"/>
      <c r="C11" s="149"/>
      <c r="D11" s="14"/>
      <c r="E11" s="113" t="s">
        <v>17</v>
      </c>
      <c r="F11" s="150"/>
      <c r="G11" s="151">
        <f>ROUNDDOWN('BS（円）'!G11/1000,0)</f>
        <v>6446</v>
      </c>
      <c r="H11" s="152"/>
      <c r="I11" s="153"/>
      <c r="J11" s="153"/>
      <c r="K11" s="217" t="s">
        <v>18</v>
      </c>
      <c r="L11" s="217"/>
      <c r="M11" s="217"/>
      <c r="N11" s="154"/>
      <c r="O11" s="151">
        <f>ROUNDDOWN('BS（円）'!O11/1000,0)</f>
        <v>111136</v>
      </c>
      <c r="Q11" s="125"/>
    </row>
    <row r="12" spans="2:17" ht="18.75" customHeight="1">
      <c r="B12" s="144"/>
      <c r="C12" s="149"/>
      <c r="D12" s="14"/>
      <c r="E12" s="113" t="s">
        <v>19</v>
      </c>
      <c r="F12" s="150"/>
      <c r="G12" s="151">
        <f>ROUNDDOWN('BS（円）'!G12/1000,0)</f>
        <v>334387</v>
      </c>
      <c r="H12" s="152"/>
      <c r="I12" s="153"/>
      <c r="J12" s="153"/>
      <c r="K12" s="217" t="s">
        <v>20</v>
      </c>
      <c r="L12" s="217"/>
      <c r="M12" s="217"/>
      <c r="N12" s="154"/>
      <c r="O12" s="151">
        <f>ROUNDDOWN('BS（円）'!O12/1000,0)</f>
        <v>30737</v>
      </c>
      <c r="Q12" s="125"/>
    </row>
    <row r="13" spans="2:17" ht="18.75" customHeight="1">
      <c r="B13" s="144"/>
      <c r="C13" s="149"/>
      <c r="D13" s="14"/>
      <c r="E13" s="113" t="s">
        <v>21</v>
      </c>
      <c r="F13" s="150"/>
      <c r="G13" s="151">
        <f>ROUNDDOWN('BS（円）'!G13/1000,0)</f>
        <v>5069796</v>
      </c>
      <c r="H13" s="152"/>
      <c r="I13" s="153"/>
      <c r="J13" s="153"/>
      <c r="K13" s="217" t="s">
        <v>22</v>
      </c>
      <c r="L13" s="217"/>
      <c r="M13" s="217"/>
      <c r="N13" s="154"/>
      <c r="O13" s="151">
        <f>ROUNDDOWN('BS（円）'!O13/1000,0)</f>
        <v>1735158</v>
      </c>
      <c r="Q13" s="125"/>
    </row>
    <row r="14" spans="2:17" ht="18.75" customHeight="1">
      <c r="B14" s="144"/>
      <c r="C14" s="149"/>
      <c r="D14" s="14"/>
      <c r="E14" s="113" t="s">
        <v>23</v>
      </c>
      <c r="F14" s="150"/>
      <c r="G14" s="151">
        <f>ROUNDDOWN('BS（円）'!G14/1000,0)</f>
        <v>63786</v>
      </c>
      <c r="H14" s="152"/>
      <c r="I14" s="153"/>
      <c r="J14" s="153"/>
      <c r="K14" s="217" t="s">
        <v>24</v>
      </c>
      <c r="L14" s="217"/>
      <c r="M14" s="217"/>
      <c r="N14" s="154"/>
      <c r="O14" s="151">
        <f>ROUNDDOWN('BS（円）'!O14/1000,0)</f>
        <v>215534</v>
      </c>
      <c r="Q14" s="125"/>
    </row>
    <row r="15" spans="2:17" ht="18.75" customHeight="1">
      <c r="B15" s="144"/>
      <c r="C15" s="149"/>
      <c r="D15" s="14"/>
      <c r="E15" s="113" t="s">
        <v>25</v>
      </c>
      <c r="F15" s="150"/>
      <c r="G15" s="151">
        <f>ROUNDDOWN('BS（円）'!G16/1000,0)</f>
        <v>27277</v>
      </c>
      <c r="H15" s="152"/>
      <c r="I15" s="153"/>
      <c r="J15" s="153"/>
      <c r="K15" s="217" t="s">
        <v>26</v>
      </c>
      <c r="L15" s="217"/>
      <c r="M15" s="217"/>
      <c r="N15" s="154"/>
      <c r="O15" s="151">
        <f>ROUNDDOWN('BS（円）'!O15/1000,0)</f>
        <v>340729</v>
      </c>
      <c r="Q15" s="125"/>
    </row>
    <row r="16" spans="2:17" ht="18.75" customHeight="1">
      <c r="B16" s="144"/>
      <c r="C16" s="149"/>
      <c r="D16" s="14"/>
      <c r="E16" s="113" t="s">
        <v>27</v>
      </c>
      <c r="F16" s="150"/>
      <c r="G16" s="151">
        <f>ROUNDDOWN('BS（円）'!G17/1000,0)</f>
        <v>57329</v>
      </c>
      <c r="H16" s="152"/>
      <c r="I16" s="153"/>
      <c r="J16" s="153"/>
      <c r="K16" s="217" t="s">
        <v>28</v>
      </c>
      <c r="L16" s="217"/>
      <c r="M16" s="217"/>
      <c r="N16" s="154"/>
      <c r="O16" s="151">
        <f>ROUNDDOWN('BS（円）'!O17/1000,0)</f>
        <v>105</v>
      </c>
      <c r="Q16" s="125"/>
    </row>
    <row r="17" spans="2:17" ht="18.75" customHeight="1">
      <c r="B17" s="144"/>
      <c r="C17" s="149"/>
      <c r="D17" s="14"/>
      <c r="E17" s="113" t="s">
        <v>29</v>
      </c>
      <c r="F17" s="150"/>
      <c r="G17" s="151">
        <f>ROUNDDOWN(SUM('BS（円）'!G15,'BS（円）'!G18:G20)/1000,0)</f>
        <v>665788</v>
      </c>
      <c r="H17" s="155"/>
      <c r="I17" s="156"/>
      <c r="J17" s="153"/>
      <c r="K17" s="217" t="s">
        <v>29</v>
      </c>
      <c r="L17" s="217"/>
      <c r="M17" s="217"/>
      <c r="N17" s="154"/>
      <c r="O17" s="157">
        <f>ROUNDDOWN(SUM('BS（円）'!O16,'BS（円）'!O18,'BS（円）'!O19)/1000,0)</f>
        <v>387560</v>
      </c>
      <c r="Q17" s="125"/>
    </row>
    <row r="18" spans="2:17" ht="18.75" customHeight="1">
      <c r="B18" s="144"/>
      <c r="C18" s="221" t="s">
        <v>30</v>
      </c>
      <c r="D18" s="221"/>
      <c r="E18" s="221"/>
      <c r="F18" s="145"/>
      <c r="G18" s="146">
        <f>ROUNDDOWN('BS（円）'!G22/1000,0)</f>
        <v>16955493</v>
      </c>
      <c r="H18" s="158"/>
      <c r="I18" s="221" t="s">
        <v>31</v>
      </c>
      <c r="J18" s="221"/>
      <c r="K18" s="221"/>
      <c r="L18" s="221"/>
      <c r="M18" s="221"/>
      <c r="N18" s="158"/>
      <c r="O18" s="148">
        <f>ROUNDDOWN('BS（円）'!O22/1000,0)</f>
        <v>45367479</v>
      </c>
      <c r="Q18" s="126"/>
    </row>
    <row r="19" spans="2:17" ht="18.75" customHeight="1">
      <c r="B19" s="144"/>
      <c r="C19" s="159"/>
      <c r="D19" s="221" t="s">
        <v>32</v>
      </c>
      <c r="E19" s="221"/>
      <c r="F19" s="145"/>
      <c r="G19" s="160">
        <f>ROUNDDOWN('BS（円）'!G23/1000,0)</f>
        <v>16638722</v>
      </c>
      <c r="H19" s="158"/>
      <c r="I19" s="158"/>
      <c r="J19" s="158"/>
      <c r="K19" s="217" t="s">
        <v>33</v>
      </c>
      <c r="L19" s="217"/>
      <c r="M19" s="217"/>
      <c r="N19" s="161"/>
      <c r="O19" s="151">
        <f>ROUNDDOWN('BS（円）'!O24/1000,0)</f>
        <v>830000</v>
      </c>
      <c r="Q19" s="126"/>
    </row>
    <row r="20" spans="2:17" ht="18.75" customHeight="1">
      <c r="B20" s="144"/>
      <c r="C20" s="149"/>
      <c r="D20" s="14"/>
      <c r="E20" s="113" t="s">
        <v>34</v>
      </c>
      <c r="F20" s="150"/>
      <c r="G20" s="157">
        <f>ROUNDDOWN('BS（円）'!G24/1000,0)</f>
        <v>3718243</v>
      </c>
      <c r="H20" s="158"/>
      <c r="I20" s="158"/>
      <c r="J20" s="158"/>
      <c r="K20" s="217" t="s">
        <v>35</v>
      </c>
      <c r="L20" s="217"/>
      <c r="M20" s="217"/>
      <c r="N20" s="161"/>
      <c r="O20" s="151">
        <f>ROUNDDOWN('BS（円）'!O23/1000,0)</f>
        <v>44537479</v>
      </c>
      <c r="Q20" s="126"/>
    </row>
    <row r="21" spans="2:17" ht="18.75" customHeight="1" thickBot="1">
      <c r="B21" s="144"/>
      <c r="C21" s="149"/>
      <c r="D21" s="14"/>
      <c r="E21" s="113" t="s">
        <v>36</v>
      </c>
      <c r="F21" s="150"/>
      <c r="G21" s="157">
        <f>ROUNDDOWN('BS（円）'!G25/1000,0)</f>
        <v>1927012</v>
      </c>
      <c r="H21" s="228" t="s">
        <v>37</v>
      </c>
      <c r="I21" s="229"/>
      <c r="J21" s="229"/>
      <c r="K21" s="229"/>
      <c r="L21" s="229"/>
      <c r="M21" s="229"/>
      <c r="N21" s="138"/>
      <c r="O21" s="162">
        <f>ROUNDDOWN('BS（円）'!O31/1000,0)</f>
        <v>51829524</v>
      </c>
      <c r="Q21" s="127"/>
    </row>
    <row r="22" spans="2:17" ht="18.75" customHeight="1" thickBot="1">
      <c r="B22" s="144"/>
      <c r="C22" s="149"/>
      <c r="D22" s="14"/>
      <c r="E22" s="113" t="s">
        <v>38</v>
      </c>
      <c r="F22" s="150"/>
      <c r="G22" s="157">
        <f>ROUNDDOWN('BS（円）'!G26/1000,0)</f>
        <v>9668</v>
      </c>
      <c r="H22" s="230" t="s">
        <v>39</v>
      </c>
      <c r="I22" s="231"/>
      <c r="J22" s="231"/>
      <c r="K22" s="231"/>
      <c r="L22" s="231"/>
      <c r="M22" s="231"/>
      <c r="N22" s="231"/>
      <c r="O22" s="232"/>
    </row>
    <row r="23" spans="2:17" ht="18.75" customHeight="1">
      <c r="B23" s="144"/>
      <c r="C23" s="149"/>
      <c r="D23" s="14"/>
      <c r="E23" s="113" t="s">
        <v>40</v>
      </c>
      <c r="F23" s="150"/>
      <c r="G23" s="157">
        <f>ROUNDDOWN('BS（円）'!G27/1000,0)</f>
        <v>8671</v>
      </c>
      <c r="H23" s="163"/>
      <c r="I23" s="221" t="s">
        <v>41</v>
      </c>
      <c r="J23" s="221"/>
      <c r="K23" s="221"/>
      <c r="L23" s="221"/>
      <c r="M23" s="221"/>
      <c r="N23" s="164"/>
      <c r="O23" s="148">
        <f>SUM(O24,O25)</f>
        <v>13978928</v>
      </c>
    </row>
    <row r="24" spans="2:17" ht="18.75" customHeight="1">
      <c r="B24" s="144"/>
      <c r="C24" s="149"/>
      <c r="D24" s="14"/>
      <c r="E24" s="113" t="s">
        <v>42</v>
      </c>
      <c r="F24" s="150"/>
      <c r="G24" s="157">
        <f>ROUNDDOWN(('BS（円）'!G28+'BS（円）'!G29)/1000,0)</f>
        <v>31985</v>
      </c>
      <c r="H24" s="163"/>
      <c r="I24" s="156"/>
      <c r="J24" s="156"/>
      <c r="K24" s="221" t="s">
        <v>43</v>
      </c>
      <c r="L24" s="221"/>
      <c r="M24" s="221"/>
      <c r="N24" s="164"/>
      <c r="O24" s="148">
        <f>ROUNDDOWN('BS（円）'!O34/1000,0)</f>
        <v>99000</v>
      </c>
    </row>
    <row r="25" spans="2:17" ht="18.75" customHeight="1">
      <c r="B25" s="144"/>
      <c r="C25" s="149"/>
      <c r="D25" s="14"/>
      <c r="E25" s="113" t="s">
        <v>44</v>
      </c>
      <c r="F25" s="150"/>
      <c r="G25" s="157">
        <f>ROUNDDOWN('BS（円）'!G30/1000,0)</f>
        <v>10943139</v>
      </c>
      <c r="H25" s="163"/>
      <c r="I25" s="156"/>
      <c r="J25" s="156"/>
      <c r="K25" s="221" t="s">
        <v>45</v>
      </c>
      <c r="L25" s="221"/>
      <c r="M25" s="221"/>
      <c r="N25" s="164"/>
      <c r="O25" s="148">
        <f>O26+O27</f>
        <v>13879928</v>
      </c>
    </row>
    <row r="26" spans="2:17" ht="18.75" customHeight="1">
      <c r="B26" s="144"/>
      <c r="C26" s="159"/>
      <c r="D26" s="221" t="s">
        <v>47</v>
      </c>
      <c r="E26" s="221"/>
      <c r="F26" s="145"/>
      <c r="G26" s="148">
        <f>ROUNDDOWN('BS（円）'!G32/1000,0)</f>
        <v>8136</v>
      </c>
      <c r="H26" s="163"/>
      <c r="I26" s="156"/>
      <c r="J26" s="156"/>
      <c r="K26" s="14"/>
      <c r="L26" s="217" t="s">
        <v>46</v>
      </c>
      <c r="M26" s="217"/>
      <c r="N26" s="165"/>
      <c r="O26" s="166">
        <f>ROUNDDOWN('BS（円）'!O36/1000,0)</f>
        <v>24750</v>
      </c>
    </row>
    <row r="27" spans="2:17" ht="18.75" customHeight="1">
      <c r="B27" s="167"/>
      <c r="C27" s="149"/>
      <c r="D27" s="14"/>
      <c r="E27" s="113" t="s">
        <v>49</v>
      </c>
      <c r="F27" s="150"/>
      <c r="G27" s="157">
        <f>ROUNDDOWN('BS（円）'!G34/1000,0)</f>
        <v>8101</v>
      </c>
      <c r="H27" s="163"/>
      <c r="I27" s="46"/>
      <c r="J27" s="46"/>
      <c r="K27" s="14"/>
      <c r="L27" s="217" t="s">
        <v>48</v>
      </c>
      <c r="M27" s="217"/>
      <c r="N27" s="113"/>
      <c r="O27" s="151">
        <f>ROUNDDOWN('BS（円）'!O37/1000,0)</f>
        <v>13855178</v>
      </c>
    </row>
    <row r="28" spans="2:17" ht="18.75" customHeight="1">
      <c r="B28" s="167"/>
      <c r="C28" s="149"/>
      <c r="D28" s="14"/>
      <c r="E28" s="113" t="s">
        <v>51</v>
      </c>
      <c r="F28" s="150"/>
      <c r="G28" s="157">
        <f>ROUNDDOWN('BS（円）'!G33/1000,0)</f>
        <v>35</v>
      </c>
      <c r="H28" s="163"/>
      <c r="I28" s="46"/>
      <c r="J28" s="46"/>
      <c r="K28" s="153"/>
      <c r="L28" s="14"/>
      <c r="M28" s="113" t="s">
        <v>50</v>
      </c>
      <c r="N28" s="113"/>
      <c r="O28" s="151">
        <f>ROUNDDOWN('BS（円）'!O38/1000,0)</f>
        <v>13855178</v>
      </c>
    </row>
    <row r="29" spans="2:17" ht="18.75" customHeight="1">
      <c r="B29" s="144"/>
      <c r="C29" s="159"/>
      <c r="D29" s="221" t="s">
        <v>52</v>
      </c>
      <c r="E29" s="221"/>
      <c r="F29" s="145"/>
      <c r="G29" s="148">
        <f>ROUNDDOWN('BS（円）'!G35/1000,0)</f>
        <v>308634</v>
      </c>
      <c r="H29" s="14"/>
      <c r="I29" s="14"/>
      <c r="J29" s="14"/>
      <c r="K29" s="14"/>
      <c r="L29" s="14"/>
      <c r="M29" s="14"/>
      <c r="N29" s="14"/>
      <c r="O29" s="168"/>
    </row>
    <row r="30" spans="2:17" ht="18.75" customHeight="1">
      <c r="B30" s="144"/>
      <c r="C30" s="159"/>
      <c r="D30" s="46"/>
      <c r="E30" s="113" t="s">
        <v>53</v>
      </c>
      <c r="F30" s="145"/>
      <c r="G30" s="151">
        <f>ROUNDDOWN('BS（円）'!G36/1000,0)</f>
        <v>150570</v>
      </c>
      <c r="M30" s="14"/>
      <c r="N30" s="14"/>
      <c r="O30" s="168"/>
    </row>
    <row r="31" spans="2:17" ht="18.75" customHeight="1">
      <c r="B31" s="144"/>
      <c r="C31" s="149"/>
      <c r="D31" s="14"/>
      <c r="E31" s="113" t="s">
        <v>54</v>
      </c>
      <c r="F31" s="150"/>
      <c r="G31" s="151">
        <f>ROUNDDOWN('BS（円）'!G37/1000,0)</f>
        <v>20370</v>
      </c>
      <c r="M31" s="14"/>
      <c r="N31" s="14"/>
      <c r="O31" s="168"/>
    </row>
    <row r="32" spans="2:17" ht="18.75" customHeight="1">
      <c r="B32" s="144"/>
      <c r="C32" s="149"/>
      <c r="D32" s="14"/>
      <c r="E32" s="113" t="s">
        <v>55</v>
      </c>
      <c r="F32" s="150"/>
      <c r="G32" s="151">
        <f>ROUNDDOWN('BS（円）'!G38/1000,0)</f>
        <v>80517</v>
      </c>
      <c r="M32" s="14"/>
      <c r="N32" s="14"/>
      <c r="O32" s="168"/>
    </row>
    <row r="33" spans="2:15" ht="18.75" customHeight="1">
      <c r="B33" s="144"/>
      <c r="C33" s="149"/>
      <c r="D33" s="14"/>
      <c r="E33" s="113" t="s">
        <v>56</v>
      </c>
      <c r="F33" s="150"/>
      <c r="G33" s="151">
        <f>ROUNDDOWN('BS（円）'!G39/1000,0)</f>
        <v>42626</v>
      </c>
      <c r="H33" s="14"/>
      <c r="I33" s="14"/>
      <c r="J33" s="14"/>
      <c r="K33" s="14"/>
      <c r="L33" s="14"/>
      <c r="M33" s="14"/>
      <c r="N33" s="14"/>
      <c r="O33" s="169"/>
    </row>
    <row r="34" spans="2:15" ht="18.75" customHeight="1">
      <c r="B34" s="144"/>
      <c r="C34" s="149"/>
      <c r="D34" s="14"/>
      <c r="E34" s="113" t="s">
        <v>29</v>
      </c>
      <c r="F34" s="150"/>
      <c r="G34" s="151">
        <f>ROUNDDOWN('BS（円）'!G40/1000,0)</f>
        <v>14550</v>
      </c>
      <c r="H34" s="222" t="s">
        <v>57</v>
      </c>
      <c r="I34" s="223"/>
      <c r="J34" s="223"/>
      <c r="K34" s="223"/>
      <c r="L34" s="223"/>
      <c r="M34" s="223"/>
      <c r="N34" s="224"/>
      <c r="O34" s="162">
        <f>ROUNDDOWN('BS（円）'!O40/1000,0)</f>
        <v>13978928</v>
      </c>
    </row>
    <row r="35" spans="2:15" ht="18.75" customHeight="1" thickBot="1">
      <c r="B35" s="225" t="s">
        <v>58</v>
      </c>
      <c r="C35" s="226"/>
      <c r="D35" s="226"/>
      <c r="E35" s="226"/>
      <c r="F35" s="227"/>
      <c r="G35" s="170">
        <f>ROUNDDOWN('BS（円）'!G41/1000,0)</f>
        <v>65808452</v>
      </c>
      <c r="H35" s="225" t="s">
        <v>59</v>
      </c>
      <c r="I35" s="226"/>
      <c r="J35" s="226"/>
      <c r="K35" s="226"/>
      <c r="L35" s="226"/>
      <c r="M35" s="226"/>
      <c r="N35" s="227"/>
      <c r="O35" s="170">
        <f>ROUNDDOWN('BS（円）'!O41/1000,0)</f>
        <v>65808452</v>
      </c>
    </row>
    <row r="36" spans="2:15" ht="18.75" customHeight="1">
      <c r="H36" s="23"/>
      <c r="I36" s="23"/>
    </row>
    <row r="37" spans="2:15" ht="18.75" customHeight="1">
      <c r="I37" s="23"/>
    </row>
    <row r="38" spans="2:15" ht="18.75" customHeight="1">
      <c r="I38" s="23"/>
    </row>
    <row r="39" spans="2:15" ht="18.75" customHeight="1">
      <c r="I39" s="23"/>
    </row>
    <row r="40" spans="2:15" ht="18.75" customHeight="1">
      <c r="I40" s="23"/>
    </row>
    <row r="41" spans="2:15" ht="18.75" customHeight="1">
      <c r="I41" s="23"/>
    </row>
    <row r="42" spans="2:15" ht="18.75" customHeight="1"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 collapsed="1"/>
    <row r="52" spans="9:9" ht="36" customHeight="1"/>
    <row r="53" spans="9:9" ht="36" customHeight="1"/>
    <row r="54" spans="9:9" ht="35.25" customHeight="1"/>
    <row r="55" spans="9:9" ht="18.75" customHeight="1"/>
  </sheetData>
  <mergeCells count="33">
    <mergeCell ref="B5:G5"/>
    <mergeCell ref="H5:O5"/>
    <mergeCell ref="H22:O22"/>
    <mergeCell ref="L26:M26"/>
    <mergeCell ref="L27:M27"/>
    <mergeCell ref="K20:M20"/>
    <mergeCell ref="K17:M17"/>
    <mergeCell ref="C18:E18"/>
    <mergeCell ref="I18:M18"/>
    <mergeCell ref="D19:E19"/>
    <mergeCell ref="K19:M19"/>
    <mergeCell ref="K13:M13"/>
    <mergeCell ref="K14:M14"/>
    <mergeCell ref="K15:M15"/>
    <mergeCell ref="K16:M16"/>
    <mergeCell ref="K8:M8"/>
    <mergeCell ref="H34:N34"/>
    <mergeCell ref="B35:F35"/>
    <mergeCell ref="H35:N35"/>
    <mergeCell ref="H21:M21"/>
    <mergeCell ref="I23:M23"/>
    <mergeCell ref="K24:M24"/>
    <mergeCell ref="D26:E26"/>
    <mergeCell ref="D29:E29"/>
    <mergeCell ref="K25:M25"/>
    <mergeCell ref="K9:M9"/>
    <mergeCell ref="K10:M10"/>
    <mergeCell ref="K11:M11"/>
    <mergeCell ref="K12:M12"/>
    <mergeCell ref="B6:F6"/>
    <mergeCell ref="H6:N6"/>
    <mergeCell ref="C7:E7"/>
    <mergeCell ref="I7:M7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8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78B4-D721-4AEF-9F4F-EA05DC02F61F}">
  <sheetPr>
    <tabColor theme="8" tint="0.79998168889431442"/>
    <pageSetUpPr fitToPage="1"/>
  </sheetPr>
  <dimension ref="B1:M33"/>
  <sheetViews>
    <sheetView showGridLines="0" tabSelected="1" view="pageBreakPreview" zoomScaleNormal="120" zoomScaleSheetLayoutView="100" workbookViewId="0">
      <pane ySplit="5" topLeftCell="A6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3" ht="21" customHeight="1"/>
    <row r="2" spans="2:13" s="7" customFormat="1" ht="21">
      <c r="B2" s="2" t="s">
        <v>87</v>
      </c>
      <c r="C2" s="5"/>
      <c r="D2" s="5"/>
      <c r="E2" s="5"/>
      <c r="F2" s="5"/>
      <c r="G2" s="97"/>
      <c r="H2" s="97"/>
    </row>
    <row r="3" spans="2:13" s="7" customFormat="1" ht="17.25" customHeight="1">
      <c r="B3" s="8" t="s">
        <v>154</v>
      </c>
      <c r="C3" s="5"/>
      <c r="D3" s="5"/>
      <c r="E3" s="5"/>
      <c r="F3" s="5"/>
      <c r="G3" s="97"/>
      <c r="H3" s="97"/>
    </row>
    <row r="4" spans="2:13" ht="17.25" customHeight="1">
      <c r="B4" s="34" t="s">
        <v>3</v>
      </c>
      <c r="C4" s="12"/>
      <c r="D4" s="12"/>
      <c r="E4" s="12"/>
      <c r="F4" s="12"/>
      <c r="G4" s="98"/>
      <c r="H4" s="143" t="s">
        <v>88</v>
      </c>
    </row>
    <row r="5" spans="2:13" s="12" customFormat="1" ht="24.6" customHeight="1">
      <c r="B5" s="233" t="s">
        <v>7</v>
      </c>
      <c r="C5" s="223"/>
      <c r="D5" s="223"/>
      <c r="E5" s="223"/>
      <c r="F5" s="224"/>
      <c r="G5" s="234" t="s">
        <v>8</v>
      </c>
      <c r="H5" s="235"/>
    </row>
    <row r="6" spans="2:13" s="12" customFormat="1" ht="24.75" customHeight="1">
      <c r="B6" s="16"/>
      <c r="C6" s="221" t="s">
        <v>89</v>
      </c>
      <c r="D6" s="221"/>
      <c r="E6" s="221"/>
      <c r="G6" s="100"/>
      <c r="H6" s="101">
        <f>ROUNDDOWN('PL（円）'!H6/1000,0)</f>
        <v>40055628</v>
      </c>
      <c r="J6" s="13"/>
    </row>
    <row r="7" spans="2:13" s="12" customFormat="1" ht="24.75" customHeight="1">
      <c r="B7" s="16"/>
      <c r="C7" s="221" t="s">
        <v>90</v>
      </c>
      <c r="D7" s="221"/>
      <c r="E7" s="221"/>
      <c r="G7" s="100"/>
      <c r="H7" s="101"/>
    </row>
    <row r="8" spans="2:13" s="12" customFormat="1" ht="24.75" customHeight="1">
      <c r="B8" s="16"/>
      <c r="C8" s="46"/>
      <c r="D8" s="217" t="s">
        <v>91</v>
      </c>
      <c r="E8" s="217"/>
      <c r="G8" s="103">
        <f>ROUNDDOWN('PL（円）'!G8/1000,0)</f>
        <v>21923271</v>
      </c>
      <c r="H8" s="101"/>
    </row>
    <row r="9" spans="2:13" s="12" customFormat="1" ht="24.75" customHeight="1">
      <c r="B9" s="16"/>
      <c r="C9" s="46"/>
      <c r="D9" s="217" t="s">
        <v>92</v>
      </c>
      <c r="E9" s="217"/>
      <c r="G9" s="103">
        <f>ROUNDDOWN('PL（円）'!G9/1000,0)</f>
        <v>34917470</v>
      </c>
      <c r="H9" s="101"/>
    </row>
    <row r="10" spans="2:13" s="12" customFormat="1" ht="24.75" customHeight="1">
      <c r="B10" s="16"/>
      <c r="C10" s="46"/>
      <c r="D10" s="217" t="s">
        <v>93</v>
      </c>
      <c r="E10" s="217"/>
      <c r="G10" s="104">
        <f>ROUNDDOWN('PL（円）'!G10/1000,0)</f>
        <v>56840742</v>
      </c>
      <c r="H10" s="101"/>
      <c r="K10" s="279"/>
      <c r="L10" s="279"/>
      <c r="M10" s="279"/>
    </row>
    <row r="11" spans="2:13" s="12" customFormat="1" ht="24.75" customHeight="1">
      <c r="B11" s="16"/>
      <c r="C11" s="46"/>
      <c r="D11" s="217" t="s">
        <v>94</v>
      </c>
      <c r="E11" s="217"/>
      <c r="G11" s="105">
        <f>ROUNDDOWN('PL（円）'!G11/1000,0)</f>
        <v>755356</v>
      </c>
      <c r="H11" s="101"/>
    </row>
    <row r="12" spans="2:13" s="12" customFormat="1" ht="24.75" customHeight="1">
      <c r="B12" s="16"/>
      <c r="C12" s="46"/>
      <c r="D12" s="217" t="s">
        <v>95</v>
      </c>
      <c r="E12" s="217"/>
      <c r="G12" s="128">
        <f>ROUNDDOWN('PL（円）'!G12/1000,0)</f>
        <v>25913063</v>
      </c>
      <c r="H12" s="102">
        <f>ROUNDDOWN('PL（円）'!H12/1000,0)</f>
        <v>30172322</v>
      </c>
    </row>
    <row r="13" spans="2:13" s="12" customFormat="1" ht="24.75" customHeight="1">
      <c r="B13" s="16"/>
      <c r="D13" s="221" t="s">
        <v>96</v>
      </c>
      <c r="E13" s="221"/>
      <c r="G13" s="100"/>
      <c r="H13" s="101">
        <f>ROUNDDOWN('PL（円）'!H13/1000,0)</f>
        <v>9883305</v>
      </c>
    </row>
    <row r="14" spans="2:13" s="12" customFormat="1" ht="24.75" customHeight="1">
      <c r="B14" s="16"/>
      <c r="C14" s="221" t="s">
        <v>97</v>
      </c>
      <c r="D14" s="221"/>
      <c r="E14" s="221"/>
      <c r="G14" s="100"/>
      <c r="H14" s="102">
        <f>ROUNDDOWN('PL（円）'!H14/1000,0)</f>
        <v>4125941</v>
      </c>
    </row>
    <row r="15" spans="2:13" s="12" customFormat="1" ht="24.75" customHeight="1">
      <c r="B15" s="16"/>
      <c r="C15" s="46"/>
      <c r="D15" s="221" t="s">
        <v>98</v>
      </c>
      <c r="E15" s="221"/>
      <c r="G15" s="100"/>
      <c r="H15" s="101">
        <f>ROUNDDOWN('PL（円）'!H15/1000,0)</f>
        <v>5757364</v>
      </c>
      <c r="J15" s="13"/>
    </row>
    <row r="16" spans="2:13" s="12" customFormat="1" ht="24.75" customHeight="1">
      <c r="B16" s="16"/>
      <c r="C16" s="221" t="s">
        <v>99</v>
      </c>
      <c r="D16" s="221"/>
      <c r="E16" s="221"/>
      <c r="G16" s="100"/>
      <c r="H16" s="101"/>
    </row>
    <row r="17" spans="2:10" s="12" customFormat="1" ht="24.75" customHeight="1">
      <c r="B17" s="16"/>
      <c r="D17" s="217" t="s">
        <v>100</v>
      </c>
      <c r="E17" s="217"/>
      <c r="F17" s="14"/>
      <c r="G17" s="103">
        <f>ROUNDDOWN('PL（円）'!G17/1000,0)</f>
        <v>12205</v>
      </c>
      <c r="H17" s="101"/>
    </row>
    <row r="18" spans="2:10" s="12" customFormat="1" ht="24.75" customHeight="1">
      <c r="B18" s="16"/>
      <c r="D18" s="217" t="s">
        <v>101</v>
      </c>
      <c r="E18" s="217"/>
      <c r="F18" s="14"/>
      <c r="G18" s="103">
        <f>ROUNDDOWN('PL（円）'!G18/1000,0)</f>
        <v>295</v>
      </c>
      <c r="H18" s="101"/>
    </row>
    <row r="19" spans="2:10" s="12" customFormat="1" ht="24.75" customHeight="1">
      <c r="B19" s="16"/>
      <c r="D19" s="217" t="s">
        <v>102</v>
      </c>
      <c r="E19" s="217"/>
      <c r="F19" s="14"/>
      <c r="G19" s="128">
        <f>ROUNDDOWN('PL（円）'!G19/1000,0)</f>
        <v>35202</v>
      </c>
      <c r="H19" s="101">
        <f>ROUNDDOWN('PL（円）'!H19/1000,0)</f>
        <v>47702</v>
      </c>
    </row>
    <row r="20" spans="2:10" s="12" customFormat="1" ht="24.75" customHeight="1">
      <c r="B20" s="16"/>
      <c r="C20" s="221" t="s">
        <v>103</v>
      </c>
      <c r="D20" s="221"/>
      <c r="E20" s="221"/>
      <c r="G20" s="101"/>
      <c r="H20" s="101"/>
    </row>
    <row r="21" spans="2:10" s="12" customFormat="1" ht="24.75" customHeight="1">
      <c r="B21" s="16"/>
      <c r="D21" s="217" t="s">
        <v>104</v>
      </c>
      <c r="E21" s="217"/>
      <c r="F21" s="14"/>
      <c r="G21" s="128">
        <f>ROUNDDOWN('PL（円）'!G21/1000,0)</f>
        <v>777443</v>
      </c>
      <c r="H21" s="102">
        <f>ROUNDDOWN('PL（円）'!H21/1000,0)</f>
        <v>777443</v>
      </c>
      <c r="I21" s="15"/>
    </row>
    <row r="22" spans="2:10" s="12" customFormat="1" ht="24.75" customHeight="1">
      <c r="B22" s="16"/>
      <c r="C22" s="46"/>
      <c r="D22" s="221" t="s">
        <v>105</v>
      </c>
      <c r="E22" s="221"/>
      <c r="G22" s="100"/>
      <c r="H22" s="101">
        <f>ROUNDDOWN('PL（円）'!H22/1000,0)</f>
        <v>5027622</v>
      </c>
      <c r="J22" s="13"/>
    </row>
    <row r="23" spans="2:10" s="12" customFormat="1" ht="24.75" hidden="1" customHeight="1">
      <c r="B23" s="16"/>
      <c r="C23" s="221" t="s">
        <v>106</v>
      </c>
      <c r="D23" s="221"/>
      <c r="E23" s="221"/>
      <c r="G23" s="100"/>
      <c r="H23" s="101"/>
    </row>
    <row r="24" spans="2:10" s="12" customFormat="1" ht="24.75" hidden="1" customHeight="1">
      <c r="B24" s="16"/>
      <c r="C24" s="46"/>
      <c r="D24" s="217" t="s">
        <v>107</v>
      </c>
      <c r="E24" s="217"/>
      <c r="G24" s="128" t="e">
        <f>ROUNDDOWN('PL（円）'!#REF!/1000,0)</f>
        <v>#REF!</v>
      </c>
      <c r="H24" s="101" t="e">
        <f>ROUNDDOWN('PL（円）'!#REF!/1000,0)</f>
        <v>#REF!</v>
      </c>
    </row>
    <row r="25" spans="2:10" s="12" customFormat="1" ht="24.75" customHeight="1">
      <c r="B25" s="16"/>
      <c r="C25" s="221" t="s">
        <v>108</v>
      </c>
      <c r="D25" s="221"/>
      <c r="E25" s="221"/>
      <c r="G25" s="100"/>
      <c r="H25" s="101"/>
    </row>
    <row r="26" spans="2:10" s="12" customFormat="1" ht="24.75" customHeight="1">
      <c r="B26" s="16"/>
      <c r="C26" s="46"/>
      <c r="D26" s="217" t="s">
        <v>29</v>
      </c>
      <c r="E26" s="217"/>
      <c r="G26" s="128">
        <f>ROUNDDOWN('PL（円）'!G24/1000,0)</f>
        <v>29310</v>
      </c>
      <c r="H26" s="101">
        <f>ROUNDDOWN('PL（円）'!H24/1000,0)</f>
        <v>29310</v>
      </c>
    </row>
    <row r="27" spans="2:10" s="12" customFormat="1" ht="24.75" customHeight="1">
      <c r="B27" s="16"/>
      <c r="C27" s="46"/>
      <c r="D27" s="221" t="s">
        <v>109</v>
      </c>
      <c r="E27" s="221"/>
      <c r="G27" s="101"/>
      <c r="H27" s="106">
        <f>ROUNDDOWN('PL（円）'!H25/1000,0)</f>
        <v>4998312</v>
      </c>
    </row>
    <row r="28" spans="2:10" s="12" customFormat="1" ht="24.75" customHeight="1">
      <c r="B28" s="17" t="s">
        <v>110</v>
      </c>
      <c r="C28" s="113"/>
      <c r="D28" s="217" t="s">
        <v>110</v>
      </c>
      <c r="E28" s="217"/>
      <c r="G28" s="105"/>
      <c r="H28" s="105">
        <f>ROUNDDOWN('PL（円）'!G26/1000,0)</f>
        <v>1747587</v>
      </c>
    </row>
    <row r="29" spans="2:10" s="12" customFormat="1" ht="24.75" hidden="1" customHeight="1">
      <c r="B29" s="17" t="s">
        <v>110</v>
      </c>
      <c r="C29" s="113"/>
      <c r="D29" s="217" t="s">
        <v>111</v>
      </c>
      <c r="E29" s="217"/>
      <c r="G29" s="120">
        <f>ROUNDDOWN('PL（円）'!G27/1000,0)</f>
        <v>0</v>
      </c>
      <c r="H29" s="105">
        <f>ROUNDDOWN('PL（円）'!H27/1000,0)</f>
        <v>1747587</v>
      </c>
    </row>
    <row r="30" spans="2:10" ht="24.75" customHeight="1">
      <c r="B30" s="18"/>
      <c r="C30" s="19"/>
      <c r="D30" s="236" t="s">
        <v>112</v>
      </c>
      <c r="E30" s="236"/>
      <c r="F30" s="20"/>
      <c r="G30" s="107"/>
      <c r="H30" s="108">
        <f>ROUNDDOWN('PL（円）'!H28/1000,0)</f>
        <v>3250725</v>
      </c>
      <c r="J30" s="9"/>
    </row>
    <row r="33" spans="8:8">
      <c r="H33" s="109"/>
    </row>
  </sheetData>
  <mergeCells count="27">
    <mergeCell ref="D30:E30"/>
    <mergeCell ref="D22:E22"/>
    <mergeCell ref="C23:E23"/>
    <mergeCell ref="D24:E24"/>
    <mergeCell ref="C25:E25"/>
    <mergeCell ref="D26:E26"/>
    <mergeCell ref="D27:E27"/>
    <mergeCell ref="D28:E28"/>
    <mergeCell ref="D29:E29"/>
    <mergeCell ref="D21:E21"/>
    <mergeCell ref="D10:E10"/>
    <mergeCell ref="D11:E11"/>
    <mergeCell ref="D12:E12"/>
    <mergeCell ref="D13:E13"/>
    <mergeCell ref="C14:E14"/>
    <mergeCell ref="D15:E15"/>
    <mergeCell ref="C16:E16"/>
    <mergeCell ref="D17:E17"/>
    <mergeCell ref="D18:E18"/>
    <mergeCell ref="D19:E19"/>
    <mergeCell ref="C20:E20"/>
    <mergeCell ref="D9:E9"/>
    <mergeCell ref="B5:F5"/>
    <mergeCell ref="G5:H5"/>
    <mergeCell ref="C6:E6"/>
    <mergeCell ref="C7:E7"/>
    <mergeCell ref="D8:E8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5E1-4463-4CED-8BE0-7394E9FF2F67}">
  <sheetPr>
    <tabColor theme="8" tint="0.79998168889431442"/>
    <pageSetUpPr fitToPage="1"/>
  </sheetPr>
  <dimension ref="B1:M39"/>
  <sheetViews>
    <sheetView showGridLines="0" tabSelected="1" view="pageBreakPreview" zoomScaleNormal="75" zoomScaleSheetLayoutView="100" workbookViewId="0">
      <pane ySplit="4" topLeftCell="A5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4" customWidth="1"/>
    <col min="2" max="2" width="2.625" style="1" customWidth="1"/>
    <col min="3" max="3" width="1.875" style="1" customWidth="1"/>
    <col min="4" max="4" width="17.25" style="1" customWidth="1"/>
    <col min="5" max="6" width="14.375" style="1" customWidth="1"/>
    <col min="7" max="9" width="14.375" style="3" customWidth="1"/>
    <col min="10" max="10" width="17.125" style="96" bestFit="1" customWidth="1"/>
    <col min="11" max="11" width="18" style="4" customWidth="1"/>
    <col min="12" max="16384" width="9" style="4"/>
  </cols>
  <sheetData>
    <row r="1" spans="2:13" ht="21" customHeight="1"/>
    <row r="2" spans="2:13" s="7" customFormat="1" ht="21">
      <c r="B2" s="2" t="s">
        <v>115</v>
      </c>
      <c r="C2" s="5"/>
      <c r="D2" s="5"/>
      <c r="E2" s="5"/>
      <c r="F2" s="5"/>
      <c r="G2" s="6"/>
      <c r="H2" s="6"/>
      <c r="I2" s="6"/>
      <c r="J2" s="97"/>
    </row>
    <row r="3" spans="2:13" s="7" customFormat="1" ht="17.25" customHeight="1">
      <c r="B3" s="8" t="s">
        <v>154</v>
      </c>
      <c r="C3" s="5"/>
      <c r="D3" s="5"/>
      <c r="E3" s="5"/>
      <c r="F3" s="5"/>
      <c r="G3" s="6"/>
      <c r="H3" s="6"/>
      <c r="I3" s="6"/>
      <c r="J3" s="97"/>
    </row>
    <row r="4" spans="2:13" ht="17.25" customHeight="1">
      <c r="C4" s="35" t="s">
        <v>3</v>
      </c>
      <c r="D4" s="12"/>
      <c r="E4" s="12"/>
      <c r="F4" s="12"/>
      <c r="G4" s="13"/>
      <c r="H4" s="13"/>
      <c r="I4" s="13"/>
      <c r="J4" s="99" t="s">
        <v>116</v>
      </c>
    </row>
    <row r="5" spans="2:13" ht="18.600000000000001" customHeight="1">
      <c r="B5" s="35"/>
      <c r="C5" s="237"/>
      <c r="D5" s="238"/>
      <c r="E5" s="243" t="s">
        <v>117</v>
      </c>
      <c r="F5" s="243"/>
      <c r="G5" s="243"/>
      <c r="H5" s="243"/>
      <c r="I5" s="243"/>
      <c r="J5" s="244" t="s">
        <v>118</v>
      </c>
    </row>
    <row r="6" spans="2:13" ht="18.600000000000001" customHeight="1">
      <c r="B6" s="35"/>
      <c r="C6" s="239"/>
      <c r="D6" s="240"/>
      <c r="E6" s="243" t="s">
        <v>119</v>
      </c>
      <c r="F6" s="243" t="s">
        <v>120</v>
      </c>
      <c r="G6" s="243"/>
      <c r="H6" s="243"/>
      <c r="I6" s="246" t="s">
        <v>121</v>
      </c>
      <c r="J6" s="245"/>
    </row>
    <row r="7" spans="2:13" ht="36" customHeight="1">
      <c r="B7" s="35"/>
      <c r="C7" s="239"/>
      <c r="D7" s="240"/>
      <c r="E7" s="243"/>
      <c r="F7" s="243" t="s">
        <v>122</v>
      </c>
      <c r="G7" s="136" t="s">
        <v>123</v>
      </c>
      <c r="H7" s="246" t="s">
        <v>124</v>
      </c>
      <c r="I7" s="246"/>
      <c r="J7" s="245"/>
    </row>
    <row r="8" spans="2:13" ht="36" customHeight="1">
      <c r="B8" s="35"/>
      <c r="C8" s="241"/>
      <c r="D8" s="242"/>
      <c r="E8" s="243"/>
      <c r="F8" s="243"/>
      <c r="G8" s="132" t="s">
        <v>125</v>
      </c>
      <c r="H8" s="246"/>
      <c r="I8" s="246"/>
      <c r="J8" s="245"/>
    </row>
    <row r="9" spans="2:13" ht="36" customHeight="1">
      <c r="B9" s="35"/>
      <c r="C9" s="131" t="s">
        <v>126</v>
      </c>
      <c r="D9" s="133"/>
      <c r="E9" s="140">
        <f>ROUNDDOWN('SS（円）横型'!E10/1000,0)</f>
        <v>99000</v>
      </c>
      <c r="F9" s="140">
        <f>ROUNDDOWN('SS（円）横型'!F10/1000,0)</f>
        <v>24750</v>
      </c>
      <c r="G9" s="140">
        <f>ROUNDDOWN('SS（円）横型'!G10/1000,0)</f>
        <v>11901432</v>
      </c>
      <c r="H9" s="140">
        <f>ROUNDDOWN('SS（円）横型'!H10/1000,0)</f>
        <v>11926182</v>
      </c>
      <c r="I9" s="140">
        <f>ROUNDDOWN('SS（円）横型'!I10/1000,0)</f>
        <v>12025182</v>
      </c>
      <c r="J9" s="141">
        <f>ROUNDDOWN('SS（円）横型'!J10/1000,0)</f>
        <v>12025182</v>
      </c>
    </row>
    <row r="10" spans="2:13" ht="36" customHeight="1">
      <c r="B10" s="35"/>
      <c r="C10" s="131" t="s">
        <v>127</v>
      </c>
      <c r="D10" s="133"/>
      <c r="E10" s="140"/>
      <c r="F10" s="140"/>
      <c r="G10" s="140"/>
      <c r="H10" s="140"/>
      <c r="I10" s="140"/>
      <c r="J10" s="141"/>
      <c r="K10" s="279"/>
      <c r="L10" s="279"/>
      <c r="M10" s="279"/>
    </row>
    <row r="11" spans="2:13" ht="36" customHeight="1">
      <c r="B11" s="35"/>
      <c r="C11" s="134"/>
      <c r="D11" s="135" t="str">
        <f>'SS（円）横型'!D12</f>
        <v>当期純利益</v>
      </c>
      <c r="E11" s="140">
        <f>ROUNDDOWN('SS（円）横型'!E12/1000,0)</f>
        <v>0</v>
      </c>
      <c r="F11" s="140">
        <f>ROUNDDOWN('SS（円）横型'!F12/1000,0)</f>
        <v>0</v>
      </c>
      <c r="G11" s="140">
        <f>ROUNDDOWN('SS（円）横型'!G12/1000,0)</f>
        <v>3250725</v>
      </c>
      <c r="H11" s="140">
        <f>ROUNDDOWN('SS（円）横型'!H12/1000,0)</f>
        <v>3250725</v>
      </c>
      <c r="I11" s="140">
        <f>ROUNDDOWN('SS（円）横型'!I12/1000,0)</f>
        <v>3250725</v>
      </c>
      <c r="J11" s="140">
        <f>ROUNDDOWN('SS（円）横型'!J12/1000,0)</f>
        <v>3250725</v>
      </c>
    </row>
    <row r="12" spans="2:13" ht="36" customHeight="1">
      <c r="B12" s="35"/>
      <c r="C12" s="134"/>
      <c r="D12" s="135" t="str">
        <f>'SS（円）横型'!D13</f>
        <v>剰余金の配当</v>
      </c>
      <c r="E12" s="140">
        <f>ROUNDDOWN('SS（円）横型'!E13/1000,0)</f>
        <v>0</v>
      </c>
      <c r="F12" s="140">
        <f>ROUNDDOWN('SS（円）横型'!F13/1000,0)</f>
        <v>0</v>
      </c>
      <c r="G12" s="140">
        <f>ROUNDDOWN('SS（円）横型'!G13/1000,0)</f>
        <v>-1296980</v>
      </c>
      <c r="H12" s="140">
        <f>ROUNDDOWN('SS（円）横型'!H13/1000,0)</f>
        <v>-1296980</v>
      </c>
      <c r="I12" s="140">
        <f>ROUNDDOWN('SS（円）横型'!I13/1000,0)</f>
        <v>-1296980</v>
      </c>
      <c r="J12" s="140">
        <f>ROUNDDOWN('SS（円）横型'!J13/1000,0)</f>
        <v>-1296980</v>
      </c>
    </row>
    <row r="13" spans="2:13" ht="36" customHeight="1">
      <c r="B13" s="35"/>
      <c r="C13" s="131" t="s">
        <v>129</v>
      </c>
      <c r="D13" s="131"/>
      <c r="E13" s="140">
        <f>ROUNDDOWN('SS（円）横型'!E14/1000,0)</f>
        <v>0</v>
      </c>
      <c r="F13" s="140">
        <f>ROUNDDOWN('SS（円）横型'!F14/1000,0)</f>
        <v>0</v>
      </c>
      <c r="G13" s="140">
        <f>ROUNDDOWN('SS（円）横型'!G14/1000,0)</f>
        <v>1953745</v>
      </c>
      <c r="H13" s="140">
        <f>ROUNDDOWN('SS（円）横型'!H14/1000,0)</f>
        <v>1953745</v>
      </c>
      <c r="I13" s="140">
        <f>ROUNDDOWN('SS（円）横型'!I14/1000,0)</f>
        <v>1953745</v>
      </c>
      <c r="J13" s="140">
        <f>ROUNDDOWN('SS（円）横型'!J14/1000,0)</f>
        <v>1953745</v>
      </c>
    </row>
    <row r="14" spans="2:13" ht="36" customHeight="1">
      <c r="B14" s="35"/>
      <c r="C14" s="131" t="s">
        <v>130</v>
      </c>
      <c r="D14" s="131"/>
      <c r="E14" s="140">
        <f>ROUNDDOWN('SS（円）横型'!E15/1000,0)</f>
        <v>99000</v>
      </c>
      <c r="F14" s="140">
        <f>ROUNDDOWN('SS（円）横型'!F15/1000,0)</f>
        <v>24750</v>
      </c>
      <c r="G14" s="140">
        <f>ROUNDDOWN('SS（円）横型'!G15/1000,0)</f>
        <v>13855178</v>
      </c>
      <c r="H14" s="140">
        <f>ROUNDDOWN('SS（円）横型'!H15/1000,0)</f>
        <v>13879928</v>
      </c>
      <c r="I14" s="140">
        <f>ROUNDDOWN('SS（円）横型'!I15/1000,0)</f>
        <v>13978928</v>
      </c>
      <c r="J14" s="141">
        <f>ROUNDDOWN('SS（円）横型'!J15/1000,0)</f>
        <v>13978928</v>
      </c>
    </row>
    <row r="15" spans="2:13" ht="17.25" customHeight="1">
      <c r="B15" s="35"/>
      <c r="C15" s="14"/>
      <c r="D15" s="14"/>
      <c r="E15" s="14"/>
      <c r="F15" s="14"/>
      <c r="G15" s="36"/>
      <c r="H15" s="36"/>
      <c r="I15" s="36"/>
      <c r="J15" s="99"/>
    </row>
    <row r="16" spans="2:13" ht="17.25" customHeight="1">
      <c r="B16" s="35"/>
      <c r="C16" s="14"/>
      <c r="D16" s="14"/>
      <c r="E16" s="14"/>
      <c r="F16" s="14"/>
      <c r="G16" s="36"/>
      <c r="H16" s="36"/>
      <c r="I16" s="36"/>
      <c r="J16" s="99"/>
    </row>
    <row r="17" spans="3:10" s="12" customFormat="1" ht="24.75" customHeight="1">
      <c r="C17" s="247"/>
      <c r="D17" s="247"/>
      <c r="E17" s="247"/>
      <c r="F17" s="187"/>
      <c r="G17" s="186"/>
      <c r="H17" s="186"/>
      <c r="I17" s="186"/>
      <c r="J17" s="185"/>
    </row>
    <row r="18" spans="3:10" s="12" customFormat="1" ht="24.75" customHeight="1">
      <c r="C18" s="181"/>
      <c r="D18" s="247"/>
      <c r="E18" s="247"/>
      <c r="F18" s="187"/>
      <c r="G18" s="186"/>
      <c r="H18" s="186"/>
      <c r="I18" s="186"/>
      <c r="J18" s="184"/>
    </row>
    <row r="19" spans="3:10" s="12" customFormat="1" ht="24.75" customHeight="1">
      <c r="C19" s="181"/>
      <c r="D19" s="247"/>
      <c r="E19" s="247"/>
      <c r="F19" s="187"/>
      <c r="G19" s="186"/>
      <c r="H19" s="186"/>
      <c r="I19" s="186"/>
      <c r="J19" s="184"/>
    </row>
    <row r="20" spans="3:10" s="12" customFormat="1" ht="24.75" customHeight="1">
      <c r="C20" s="181"/>
      <c r="D20" s="247"/>
      <c r="E20" s="247"/>
      <c r="F20" s="187"/>
      <c r="G20" s="186"/>
      <c r="H20" s="186"/>
      <c r="I20" s="186"/>
      <c r="J20" s="185"/>
    </row>
    <row r="21" spans="3:10" s="12" customFormat="1" ht="24.75" customHeight="1">
      <c r="C21" s="181"/>
      <c r="D21" s="247"/>
      <c r="E21" s="247"/>
      <c r="F21" s="187"/>
      <c r="G21" s="186"/>
      <c r="H21" s="186"/>
      <c r="I21" s="186"/>
      <c r="J21" s="184"/>
    </row>
    <row r="22" spans="3:10" s="12" customFormat="1" ht="24.75" customHeight="1">
      <c r="C22" s="181"/>
      <c r="D22" s="247"/>
      <c r="E22" s="247"/>
      <c r="F22" s="187"/>
      <c r="G22" s="186"/>
      <c r="H22" s="186"/>
      <c r="I22" s="186"/>
      <c r="J22" s="184"/>
    </row>
    <row r="23" spans="3:10" s="12" customFormat="1" ht="24.75" customHeight="1">
      <c r="C23" s="181"/>
      <c r="D23" s="247"/>
      <c r="E23" s="247"/>
      <c r="F23" s="187"/>
      <c r="G23" s="186"/>
      <c r="H23" s="186"/>
      <c r="I23" s="186"/>
      <c r="J23" s="185"/>
    </row>
    <row r="24" spans="3:10" s="12" customFormat="1" ht="24.75" customHeight="1">
      <c r="C24" s="181"/>
      <c r="D24" s="247"/>
      <c r="E24" s="247"/>
      <c r="F24" s="187"/>
      <c r="G24" s="186"/>
      <c r="H24" s="186"/>
      <c r="I24" s="186"/>
      <c r="J24" s="184"/>
    </row>
    <row r="25" spans="3:10" s="12" customFormat="1" ht="24.75" customHeight="1">
      <c r="C25" s="181"/>
      <c r="D25" s="247"/>
      <c r="E25" s="247"/>
      <c r="F25" s="187"/>
      <c r="G25" s="186"/>
      <c r="H25" s="186"/>
      <c r="I25" s="186"/>
      <c r="J25" s="184"/>
    </row>
    <row r="26" spans="3:10" s="12" customFormat="1" ht="24.75" customHeight="1">
      <c r="C26" s="181"/>
      <c r="D26" s="182"/>
      <c r="E26" s="182"/>
      <c r="F26" s="187"/>
      <c r="G26" s="186"/>
      <c r="H26" s="186"/>
      <c r="I26" s="186"/>
      <c r="J26" s="184"/>
    </row>
    <row r="27" spans="3:10" s="12" customFormat="1" ht="24.75" customHeight="1">
      <c r="C27" s="181"/>
      <c r="D27" s="247"/>
      <c r="E27" s="247"/>
      <c r="F27" s="187"/>
      <c r="G27" s="186"/>
      <c r="H27" s="186"/>
      <c r="I27" s="186"/>
      <c r="J27" s="184"/>
    </row>
    <row r="28" spans="3:10" s="12" customFormat="1" ht="24.75" customHeight="1">
      <c r="C28" s="181"/>
      <c r="D28" s="247"/>
      <c r="E28" s="247"/>
      <c r="F28" s="187"/>
      <c r="G28" s="186"/>
      <c r="H28" s="186"/>
      <c r="I28" s="186"/>
      <c r="J28" s="184"/>
    </row>
    <row r="29" spans="3:10" s="12" customFormat="1" ht="24.75" customHeight="1">
      <c r="C29" s="181"/>
      <c r="D29" s="247"/>
      <c r="E29" s="247"/>
      <c r="F29" s="187"/>
      <c r="G29" s="186"/>
      <c r="H29" s="186"/>
      <c r="I29" s="186"/>
      <c r="J29" s="184"/>
    </row>
    <row r="30" spans="3:10" s="12" customFormat="1" ht="24.75" customHeight="1">
      <c r="C30" s="181"/>
      <c r="D30" s="247"/>
      <c r="E30" s="247"/>
      <c r="F30" s="187"/>
      <c r="G30" s="186"/>
      <c r="H30" s="186"/>
      <c r="I30" s="186"/>
      <c r="J30" s="184"/>
    </row>
    <row r="31" spans="3:10" s="12" customFormat="1" ht="24.75" customHeight="1">
      <c r="C31" s="181"/>
      <c r="D31" s="247"/>
      <c r="E31" s="247"/>
      <c r="F31" s="187"/>
      <c r="G31" s="186"/>
      <c r="H31" s="186"/>
      <c r="I31" s="186"/>
      <c r="J31" s="184"/>
    </row>
    <row r="32" spans="3:10" s="12" customFormat="1" ht="24.75" customHeight="1">
      <c r="C32" s="181"/>
      <c r="D32" s="247"/>
      <c r="E32" s="247"/>
      <c r="F32" s="187"/>
      <c r="G32" s="186"/>
      <c r="H32" s="186"/>
      <c r="I32" s="186"/>
      <c r="J32" s="184"/>
    </row>
    <row r="33" spans="3:10" s="12" customFormat="1" ht="24.75" customHeight="1">
      <c r="C33" s="181"/>
      <c r="D33" s="247"/>
      <c r="E33" s="247"/>
      <c r="F33" s="187"/>
      <c r="G33" s="186"/>
      <c r="H33" s="186"/>
      <c r="I33" s="186"/>
      <c r="J33" s="184"/>
    </row>
    <row r="34" spans="3:10" s="12" customFormat="1" ht="24.75" customHeight="1">
      <c r="C34" s="248"/>
      <c r="D34" s="248"/>
      <c r="E34" s="248"/>
      <c r="F34" s="187"/>
      <c r="G34" s="186"/>
      <c r="H34" s="186"/>
      <c r="I34" s="186"/>
      <c r="J34" s="184"/>
    </row>
    <row r="35" spans="3:10" s="12" customFormat="1" ht="24.75" customHeight="1">
      <c r="C35" s="187"/>
      <c r="D35" s="247"/>
      <c r="E35" s="247"/>
      <c r="F35" s="187"/>
      <c r="G35" s="186"/>
      <c r="H35" s="186"/>
      <c r="I35" s="186"/>
      <c r="J35" s="184"/>
    </row>
    <row r="36" spans="3:10" s="12" customFormat="1" ht="24.75" customHeight="1">
      <c r="C36" s="187"/>
      <c r="D36" s="247"/>
      <c r="E36" s="247"/>
      <c r="F36" s="187"/>
      <c r="G36" s="186"/>
      <c r="H36" s="186"/>
      <c r="I36" s="186"/>
      <c r="J36" s="185"/>
    </row>
    <row r="39" spans="3:10">
      <c r="J39" s="109"/>
    </row>
  </sheetData>
  <mergeCells count="27">
    <mergeCell ref="D36:E36"/>
    <mergeCell ref="D30:E30"/>
    <mergeCell ref="D31:E31"/>
    <mergeCell ref="D32:E32"/>
    <mergeCell ref="D33:E33"/>
    <mergeCell ref="C34:E34"/>
    <mergeCell ref="D35:E35"/>
    <mergeCell ref="D29:E29"/>
    <mergeCell ref="C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7:E27"/>
    <mergeCell ref="D28:E28"/>
    <mergeCell ref="C5:D8"/>
    <mergeCell ref="E5:I5"/>
    <mergeCell ref="J5:J8"/>
    <mergeCell ref="E6:E8"/>
    <mergeCell ref="F6:H6"/>
    <mergeCell ref="I6:I8"/>
    <mergeCell ref="F7:F8"/>
    <mergeCell ref="H7:H8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3"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1E0E-3FF7-4663-B91A-643D7CE3935A}">
  <sheetPr>
    <pageSetUpPr fitToPage="1"/>
  </sheetPr>
  <dimension ref="B1:S61"/>
  <sheetViews>
    <sheetView showGridLines="0" view="pageBreakPreview" zoomScaleNormal="75" zoomScaleSheetLayoutView="100" workbookViewId="0">
      <pane ySplit="5" topLeftCell="A14" activePane="bottomLeft" state="frozen"/>
      <selection activeCell="G19" sqref="G19"/>
      <selection pane="bottomLeft" activeCell="R16" sqref="R16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6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6.375" style="1" customWidth="1"/>
    <col min="14" max="14" width="1.125" style="1" customWidth="1"/>
    <col min="15" max="15" width="20.875" style="82" customWidth="1"/>
    <col min="16" max="16" width="9" style="1"/>
    <col min="17" max="17" width="23.5" style="126" customWidth="1"/>
    <col min="18" max="18" width="23.5" style="1" customWidth="1"/>
    <col min="19" max="16384" width="9" style="1"/>
  </cols>
  <sheetData>
    <row r="1" spans="2:18" ht="21" customHeight="1"/>
    <row r="2" spans="2:18" ht="21">
      <c r="B2" s="2" t="s">
        <v>2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8" ht="17.25" customHeight="1">
      <c r="B3" s="8" t="str">
        <f>'BS（千円）'!B3</f>
        <v>(令和７年12月31日 現在)</v>
      </c>
      <c r="C3" s="32"/>
      <c r="D3" s="32"/>
      <c r="E3" s="32"/>
      <c r="F3" s="32"/>
      <c r="G3" s="84"/>
      <c r="H3" s="32"/>
      <c r="I3" s="32"/>
      <c r="J3" s="32"/>
      <c r="K3" s="32"/>
      <c r="L3" s="32"/>
      <c r="M3" s="32"/>
      <c r="N3" s="32"/>
      <c r="O3" s="84"/>
    </row>
    <row r="4" spans="2:18" ht="17.25" customHeight="1" thickBot="1">
      <c r="B4" s="33" t="s">
        <v>3</v>
      </c>
      <c r="C4" s="33"/>
      <c r="D4" s="33"/>
      <c r="E4" s="33"/>
      <c r="F4" s="33"/>
      <c r="G4" s="85"/>
      <c r="H4" s="35"/>
      <c r="I4" s="35"/>
      <c r="J4" s="35"/>
      <c r="K4" s="35"/>
      <c r="L4" s="35"/>
      <c r="M4" s="35"/>
      <c r="N4" s="35"/>
      <c r="O4" s="198" t="s">
        <v>60</v>
      </c>
    </row>
    <row r="5" spans="2:18" ht="42.75" customHeight="1" thickBot="1">
      <c r="B5" s="249" t="s">
        <v>7</v>
      </c>
      <c r="C5" s="219"/>
      <c r="D5" s="219"/>
      <c r="E5" s="219"/>
      <c r="F5" s="220"/>
      <c r="G5" s="194" t="s">
        <v>8</v>
      </c>
      <c r="H5" s="250" t="s">
        <v>7</v>
      </c>
      <c r="I5" s="251"/>
      <c r="J5" s="251"/>
      <c r="K5" s="251"/>
      <c r="L5" s="251"/>
      <c r="M5" s="251"/>
      <c r="N5" s="252"/>
      <c r="O5" s="201" t="s">
        <v>8</v>
      </c>
    </row>
    <row r="6" spans="2:18" ht="37.5" customHeight="1" thickBot="1">
      <c r="B6" s="253" t="s">
        <v>72</v>
      </c>
      <c r="C6" s="254"/>
      <c r="D6" s="254"/>
      <c r="E6" s="254"/>
      <c r="F6" s="255"/>
      <c r="G6" s="195"/>
      <c r="H6" s="256" t="s">
        <v>73</v>
      </c>
      <c r="I6" s="254"/>
      <c r="J6" s="254"/>
      <c r="K6" s="254"/>
      <c r="L6" s="254"/>
      <c r="M6" s="254"/>
      <c r="N6" s="255"/>
      <c r="O6" s="202"/>
    </row>
    <row r="7" spans="2:18" ht="18.75" customHeight="1">
      <c r="B7" s="144"/>
      <c r="C7" s="221" t="s">
        <v>9</v>
      </c>
      <c r="D7" s="221"/>
      <c r="E7" s="221"/>
      <c r="F7" s="145"/>
      <c r="G7" s="179">
        <f>SUM(G8:G21)</f>
        <v>48852958853</v>
      </c>
      <c r="H7" s="203"/>
      <c r="I7" s="221" t="s">
        <v>10</v>
      </c>
      <c r="J7" s="221"/>
      <c r="K7" s="221"/>
      <c r="L7" s="221"/>
      <c r="M7" s="221"/>
      <c r="N7" s="139"/>
      <c r="O7" s="204">
        <f>SUM(O8:O20)</f>
        <v>6462044613</v>
      </c>
      <c r="Q7" s="173" t="s">
        <v>74</v>
      </c>
    </row>
    <row r="8" spans="2:18" ht="18.75" customHeight="1">
      <c r="B8" s="144"/>
      <c r="C8" s="149"/>
      <c r="D8" s="14"/>
      <c r="E8" s="113" t="s">
        <v>11</v>
      </c>
      <c r="F8" s="150"/>
      <c r="G8" s="196">
        <f>8817438780-G36</f>
        <v>8666868080</v>
      </c>
      <c r="H8" s="205"/>
      <c r="I8" s="153"/>
      <c r="J8" s="153"/>
      <c r="K8" s="217" t="s">
        <v>12</v>
      </c>
      <c r="L8" s="217"/>
      <c r="M8" s="217"/>
      <c r="N8" s="154"/>
      <c r="O8" s="206">
        <f>Q8</f>
        <v>2951118486</v>
      </c>
      <c r="Q8" s="174">
        <v>2951118486</v>
      </c>
      <c r="R8" s="172">
        <v>561586486</v>
      </c>
    </row>
    <row r="9" spans="2:18" ht="18.75" customHeight="1">
      <c r="B9" s="144"/>
      <c r="C9" s="149"/>
      <c r="D9" s="14"/>
      <c r="E9" s="113" t="s">
        <v>13</v>
      </c>
      <c r="F9" s="150"/>
      <c r="G9" s="196">
        <v>25913063482</v>
      </c>
      <c r="H9" s="205"/>
      <c r="I9" s="153"/>
      <c r="J9" s="153"/>
      <c r="K9" s="217" t="s">
        <v>14</v>
      </c>
      <c r="L9" s="217"/>
      <c r="M9" s="217"/>
      <c r="N9" s="154"/>
      <c r="O9" s="206">
        <f t="shared" ref="O9:O10" si="0">Q9</f>
        <v>116000000</v>
      </c>
      <c r="Q9" s="174">
        <v>116000000</v>
      </c>
    </row>
    <row r="10" spans="2:18" ht="18.75" customHeight="1" thickBot="1">
      <c r="B10" s="144"/>
      <c r="C10" s="149"/>
      <c r="D10" s="14"/>
      <c r="E10" s="113" t="s">
        <v>75</v>
      </c>
      <c r="F10" s="150"/>
      <c r="G10" s="196">
        <v>8048215000</v>
      </c>
      <c r="H10" s="205"/>
      <c r="I10" s="153"/>
      <c r="J10" s="153"/>
      <c r="K10" s="257" t="s">
        <v>156</v>
      </c>
      <c r="L10" s="217"/>
      <c r="M10" s="217"/>
      <c r="N10" s="154"/>
      <c r="O10" s="206">
        <f t="shared" si="0"/>
        <v>573964723</v>
      </c>
      <c r="Q10" s="175">
        <v>573964723</v>
      </c>
    </row>
    <row r="11" spans="2:18" ht="18.75" customHeight="1">
      <c r="B11" s="144"/>
      <c r="C11" s="149"/>
      <c r="D11" s="14"/>
      <c r="E11" s="113" t="s">
        <v>17</v>
      </c>
      <c r="F11" s="150"/>
      <c r="G11" s="178">
        <v>6446800</v>
      </c>
      <c r="H11" s="205"/>
      <c r="I11" s="153"/>
      <c r="J11" s="153"/>
      <c r="K11" s="217" t="s">
        <v>18</v>
      </c>
      <c r="L11" s="217"/>
      <c r="M11" s="217"/>
      <c r="N11" s="154"/>
      <c r="O11" s="207">
        <v>111136041</v>
      </c>
    </row>
    <row r="12" spans="2:18" ht="18.75" customHeight="1">
      <c r="B12" s="144"/>
      <c r="C12" s="149"/>
      <c r="D12" s="14"/>
      <c r="E12" s="113" t="s">
        <v>19</v>
      </c>
      <c r="F12" s="150"/>
      <c r="G12" s="178">
        <v>334387470</v>
      </c>
      <c r="H12" s="205"/>
      <c r="I12" s="153"/>
      <c r="J12" s="153"/>
      <c r="K12" s="217" t="s">
        <v>62</v>
      </c>
      <c r="L12" s="217"/>
      <c r="M12" s="217"/>
      <c r="N12" s="154"/>
      <c r="O12" s="207">
        <v>30737582</v>
      </c>
    </row>
    <row r="13" spans="2:18" ht="18.75" customHeight="1">
      <c r="B13" s="144"/>
      <c r="C13" s="149"/>
      <c r="D13" s="14"/>
      <c r="E13" s="113" t="s">
        <v>76</v>
      </c>
      <c r="F13" s="150"/>
      <c r="G13" s="178">
        <v>5069796261</v>
      </c>
      <c r="H13" s="205"/>
      <c r="I13" s="153"/>
      <c r="J13" s="153"/>
      <c r="K13" s="217" t="s">
        <v>63</v>
      </c>
      <c r="L13" s="217"/>
      <c r="M13" s="217"/>
      <c r="N13" s="154"/>
      <c r="O13" s="207">
        <v>1735158800</v>
      </c>
    </row>
    <row r="14" spans="2:18" ht="18.75" customHeight="1">
      <c r="B14" s="144"/>
      <c r="C14" s="149"/>
      <c r="D14" s="14"/>
      <c r="E14" s="113" t="s">
        <v>23</v>
      </c>
      <c r="F14" s="150"/>
      <c r="G14" s="178">
        <v>63786053</v>
      </c>
      <c r="H14" s="205"/>
      <c r="I14" s="153"/>
      <c r="J14" s="153"/>
      <c r="K14" s="217" t="s">
        <v>24</v>
      </c>
      <c r="L14" s="217"/>
      <c r="M14" s="217"/>
      <c r="N14" s="154"/>
      <c r="O14" s="207">
        <v>215534100</v>
      </c>
    </row>
    <row r="15" spans="2:18" ht="18.75" customHeight="1">
      <c r="B15" s="144"/>
      <c r="C15" s="149"/>
      <c r="D15" s="14"/>
      <c r="E15" s="113" t="s">
        <v>77</v>
      </c>
      <c r="F15" s="150"/>
      <c r="G15" s="178">
        <v>227329</v>
      </c>
      <c r="H15" s="205"/>
      <c r="I15" s="153"/>
      <c r="J15" s="153"/>
      <c r="K15" s="217" t="s">
        <v>26</v>
      </c>
      <c r="L15" s="217"/>
      <c r="M15" s="217"/>
      <c r="N15" s="154"/>
      <c r="O15" s="207">
        <v>340729120</v>
      </c>
    </row>
    <row r="16" spans="2:18" ht="18.75" customHeight="1">
      <c r="B16" s="144"/>
      <c r="C16" s="149"/>
      <c r="D16" s="14"/>
      <c r="E16" s="113" t="s">
        <v>78</v>
      </c>
      <c r="F16" s="150"/>
      <c r="G16" s="178">
        <v>27277180</v>
      </c>
      <c r="H16" s="205"/>
      <c r="I16" s="153"/>
      <c r="J16" s="153"/>
      <c r="K16" s="217" t="s">
        <v>64</v>
      </c>
      <c r="L16" s="217"/>
      <c r="M16" s="217"/>
      <c r="N16" s="154"/>
      <c r="O16" s="207">
        <v>13081845</v>
      </c>
    </row>
    <row r="17" spans="2:19" ht="18.75" customHeight="1">
      <c r="B17" s="144"/>
      <c r="C17" s="149"/>
      <c r="D17" s="14"/>
      <c r="E17" s="113" t="s">
        <v>79</v>
      </c>
      <c r="F17" s="150"/>
      <c r="G17" s="178">
        <v>57329760</v>
      </c>
      <c r="H17" s="205"/>
      <c r="I17" s="153"/>
      <c r="J17" s="153"/>
      <c r="K17" s="217" t="s">
        <v>28</v>
      </c>
      <c r="L17" s="217"/>
      <c r="M17" s="217"/>
      <c r="N17" s="154"/>
      <c r="O17" s="207">
        <v>105000</v>
      </c>
    </row>
    <row r="18" spans="2:19" ht="18.75" customHeight="1">
      <c r="B18" s="144"/>
      <c r="C18" s="149"/>
      <c r="D18" s="14"/>
      <c r="E18" s="113" t="s">
        <v>80</v>
      </c>
      <c r="F18" s="150"/>
      <c r="G18" s="178">
        <v>20478991</v>
      </c>
      <c r="H18" s="205"/>
      <c r="I18" s="153"/>
      <c r="J18" s="153"/>
      <c r="K18" s="217" t="s">
        <v>67</v>
      </c>
      <c r="L18" s="217"/>
      <c r="M18" s="217"/>
      <c r="N18" s="154"/>
      <c r="O18" s="207">
        <v>60699108</v>
      </c>
    </row>
    <row r="19" spans="2:19" ht="18.75" customHeight="1">
      <c r="B19" s="144"/>
      <c r="C19" s="149"/>
      <c r="D19" s="14"/>
      <c r="E19" s="113" t="s">
        <v>81</v>
      </c>
      <c r="F19" s="150"/>
      <c r="G19" s="178">
        <v>5279970</v>
      </c>
      <c r="H19" s="205"/>
      <c r="I19" s="153"/>
      <c r="J19" s="153"/>
      <c r="K19" s="217" t="s">
        <v>69</v>
      </c>
      <c r="L19" s="217"/>
      <c r="M19" s="217"/>
      <c r="N19" s="154"/>
      <c r="O19" s="207">
        <v>313779808</v>
      </c>
    </row>
    <row r="20" spans="2:19" ht="18.75" customHeight="1">
      <c r="B20" s="144"/>
      <c r="C20" s="149"/>
      <c r="D20" s="14"/>
      <c r="E20" s="113" t="s">
        <v>82</v>
      </c>
      <c r="F20" s="150"/>
      <c r="G20" s="178">
        <v>639802477</v>
      </c>
      <c r="H20" s="205"/>
      <c r="I20" s="153"/>
      <c r="J20" s="153"/>
      <c r="K20" s="217"/>
      <c r="L20" s="217"/>
      <c r="M20" s="217"/>
      <c r="N20" s="154"/>
      <c r="O20" s="207"/>
    </row>
    <row r="21" spans="2:19" ht="18.75" customHeight="1">
      <c r="B21" s="144"/>
      <c r="C21" s="149"/>
      <c r="D21" s="14"/>
      <c r="E21" s="113"/>
      <c r="F21" s="150"/>
      <c r="G21" s="196"/>
      <c r="H21" s="203"/>
      <c r="I21" s="156"/>
      <c r="J21" s="153"/>
      <c r="K21" s="217"/>
      <c r="L21" s="217"/>
      <c r="M21" s="217"/>
      <c r="N21" s="208"/>
      <c r="O21" s="207"/>
    </row>
    <row r="22" spans="2:19" ht="18.75" customHeight="1">
      <c r="B22" s="144"/>
      <c r="C22" s="221" t="s">
        <v>30</v>
      </c>
      <c r="D22" s="221"/>
      <c r="E22" s="221"/>
      <c r="F22" s="145"/>
      <c r="G22" s="197">
        <f>SUM(G23,G32,G35)</f>
        <v>16955493415</v>
      </c>
      <c r="H22" s="209"/>
      <c r="I22" s="221" t="s">
        <v>31</v>
      </c>
      <c r="J22" s="221"/>
      <c r="K22" s="221"/>
      <c r="L22" s="221"/>
      <c r="M22" s="221"/>
      <c r="N22" s="158"/>
      <c r="O22" s="204">
        <f>SUM(O23:O28)</f>
        <v>45367479392</v>
      </c>
    </row>
    <row r="23" spans="2:19" ht="18.75" customHeight="1">
      <c r="B23" s="144"/>
      <c r="C23" s="159"/>
      <c r="D23" s="221" t="s">
        <v>32</v>
      </c>
      <c r="E23" s="221"/>
      <c r="F23" s="145"/>
      <c r="G23" s="98">
        <f>SUM(G24:G31)</f>
        <v>16638722122</v>
      </c>
      <c r="H23" s="209"/>
      <c r="I23" s="158"/>
      <c r="J23" s="158"/>
      <c r="K23" s="217" t="s">
        <v>35</v>
      </c>
      <c r="L23" s="217"/>
      <c r="M23" s="217"/>
      <c r="N23" s="161"/>
      <c r="O23" s="207">
        <f>Q23</f>
        <v>44537479392</v>
      </c>
      <c r="Q23" s="126">
        <v>44537479392</v>
      </c>
      <c r="R23" s="176">
        <v>47500976115</v>
      </c>
    </row>
    <row r="24" spans="2:19" ht="18.75" customHeight="1">
      <c r="B24" s="144"/>
      <c r="C24" s="149"/>
      <c r="D24" s="14"/>
      <c r="E24" s="113" t="s">
        <v>34</v>
      </c>
      <c r="F24" s="150"/>
      <c r="G24" s="178">
        <v>3718243907</v>
      </c>
      <c r="H24" s="209"/>
      <c r="I24" s="158"/>
      <c r="J24" s="158"/>
      <c r="K24" s="217" t="s">
        <v>33</v>
      </c>
      <c r="L24" s="217"/>
      <c r="M24" s="217"/>
      <c r="N24" s="161"/>
      <c r="O24" s="206">
        <f t="shared" ref="O24" si="1">Q24</f>
        <v>830000000</v>
      </c>
      <c r="Q24" s="126">
        <v>830000000</v>
      </c>
      <c r="R24" s="176">
        <v>946000000</v>
      </c>
    </row>
    <row r="25" spans="2:19" ht="18.75" customHeight="1">
      <c r="B25" s="144"/>
      <c r="C25" s="149"/>
      <c r="D25" s="14"/>
      <c r="E25" s="113" t="s">
        <v>83</v>
      </c>
      <c r="F25" s="150"/>
      <c r="G25" s="178">
        <v>1927012939</v>
      </c>
      <c r="H25" s="209"/>
      <c r="I25" s="158"/>
      <c r="J25" s="158"/>
      <c r="K25" s="158"/>
      <c r="L25" s="158"/>
      <c r="M25" s="158"/>
      <c r="N25" s="158"/>
      <c r="O25" s="204"/>
    </row>
    <row r="26" spans="2:19" ht="18.75" customHeight="1">
      <c r="B26" s="144"/>
      <c r="C26" s="149"/>
      <c r="D26" s="14"/>
      <c r="E26" s="113" t="s">
        <v>38</v>
      </c>
      <c r="F26" s="150"/>
      <c r="G26" s="178">
        <v>9668261</v>
      </c>
      <c r="H26" s="209"/>
      <c r="I26" s="158"/>
      <c r="J26" s="158"/>
      <c r="K26" s="158"/>
      <c r="L26" s="158"/>
      <c r="M26" s="158"/>
      <c r="N26" s="158"/>
      <c r="O26" s="204"/>
      <c r="Q26" s="126">
        <f>SUM(Q8:Q24)</f>
        <v>49008562601</v>
      </c>
      <c r="R26" s="177">
        <f>SUM(R8:R24)</f>
        <v>49008562601</v>
      </c>
      <c r="S26" s="127">
        <f>R26-Q26</f>
        <v>0</v>
      </c>
    </row>
    <row r="27" spans="2:19" ht="18.75" customHeight="1">
      <c r="B27" s="144"/>
      <c r="C27" s="149"/>
      <c r="D27" s="14"/>
      <c r="E27" s="113" t="s">
        <v>40</v>
      </c>
      <c r="F27" s="150"/>
      <c r="G27" s="178">
        <v>8671873</v>
      </c>
      <c r="H27" s="209"/>
      <c r="I27" s="158"/>
      <c r="J27" s="158"/>
      <c r="K27" s="158"/>
      <c r="L27" s="158"/>
      <c r="M27" s="158"/>
      <c r="N27" s="158"/>
      <c r="O27" s="204"/>
    </row>
    <row r="28" spans="2:19" ht="18.75" customHeight="1">
      <c r="B28" s="144"/>
      <c r="C28" s="149"/>
      <c r="D28" s="14"/>
      <c r="E28" s="113" t="s">
        <v>42</v>
      </c>
      <c r="F28" s="150"/>
      <c r="G28" s="178">
        <v>26920475</v>
      </c>
      <c r="H28" s="209"/>
      <c r="I28" s="158"/>
      <c r="J28" s="158"/>
      <c r="K28" s="158"/>
      <c r="L28" s="158"/>
      <c r="M28" s="158"/>
      <c r="N28" s="158"/>
      <c r="O28" s="204"/>
    </row>
    <row r="29" spans="2:19" ht="18.75" customHeight="1">
      <c r="B29" s="144"/>
      <c r="C29" s="149"/>
      <c r="D29" s="14"/>
      <c r="E29" s="113" t="s">
        <v>84</v>
      </c>
      <c r="F29" s="150"/>
      <c r="G29" s="178">
        <v>5065204</v>
      </c>
      <c r="H29" s="209"/>
      <c r="I29" s="158"/>
      <c r="J29" s="158"/>
      <c r="K29" s="158"/>
      <c r="L29" s="158"/>
      <c r="M29" s="158"/>
      <c r="N29" s="158"/>
      <c r="O29" s="204"/>
    </row>
    <row r="30" spans="2:19" ht="18.75" customHeight="1">
      <c r="B30" s="144"/>
      <c r="C30" s="149"/>
      <c r="D30" s="14"/>
      <c r="E30" s="113" t="s">
        <v>44</v>
      </c>
      <c r="F30" s="150"/>
      <c r="G30" s="178">
        <v>10943139463</v>
      </c>
      <c r="H30" s="209"/>
      <c r="I30" s="158"/>
      <c r="J30" s="158"/>
      <c r="K30" s="158"/>
      <c r="L30" s="158"/>
      <c r="M30" s="158"/>
      <c r="N30" s="158"/>
      <c r="O30" s="204"/>
    </row>
    <row r="31" spans="2:19" ht="18.75" customHeight="1" thickBot="1">
      <c r="B31" s="144"/>
      <c r="C31" s="149"/>
      <c r="D31" s="14"/>
      <c r="E31" s="113"/>
      <c r="F31" s="150"/>
      <c r="G31" s="178"/>
      <c r="H31" s="258" t="s">
        <v>37</v>
      </c>
      <c r="I31" s="259"/>
      <c r="J31" s="259"/>
      <c r="K31" s="259"/>
      <c r="L31" s="259"/>
      <c r="M31" s="259"/>
      <c r="N31" s="260"/>
      <c r="O31" s="210">
        <f>O7+O22</f>
        <v>51829524005</v>
      </c>
    </row>
    <row r="32" spans="2:19" ht="18.75" customHeight="1">
      <c r="B32" s="144"/>
      <c r="C32" s="159"/>
      <c r="D32" s="221" t="s">
        <v>47</v>
      </c>
      <c r="E32" s="221"/>
      <c r="F32" s="145"/>
      <c r="G32" s="148">
        <f>SUM(G33:G34)</f>
        <v>8136563</v>
      </c>
      <c r="H32" s="199" t="s">
        <v>85</v>
      </c>
      <c r="I32" s="158"/>
      <c r="J32" s="158"/>
      <c r="K32" s="158"/>
      <c r="L32" s="158"/>
      <c r="M32" s="158"/>
      <c r="N32" s="200"/>
      <c r="O32" s="148"/>
    </row>
    <row r="33" spans="2:15" ht="18.75" customHeight="1">
      <c r="B33" s="167"/>
      <c r="C33" s="149"/>
      <c r="D33" s="14"/>
      <c r="E33" s="113" t="s">
        <v>51</v>
      </c>
      <c r="F33" s="150"/>
      <c r="G33" s="157">
        <v>35000</v>
      </c>
      <c r="H33" s="163"/>
      <c r="I33" s="221" t="s">
        <v>41</v>
      </c>
      <c r="J33" s="221"/>
      <c r="K33" s="221"/>
      <c r="L33" s="221"/>
      <c r="M33" s="221"/>
      <c r="N33" s="164"/>
      <c r="O33" s="148">
        <f>SUM(O34,O35)</f>
        <v>13978928263</v>
      </c>
    </row>
    <row r="34" spans="2:15" ht="18.75" customHeight="1">
      <c r="B34" s="167"/>
      <c r="C34" s="149"/>
      <c r="D34" s="14"/>
      <c r="E34" s="113" t="s">
        <v>49</v>
      </c>
      <c r="F34" s="150"/>
      <c r="G34" s="157">
        <v>8101563</v>
      </c>
      <c r="H34" s="163"/>
      <c r="I34" s="156"/>
      <c r="J34" s="156"/>
      <c r="K34" s="221" t="s">
        <v>43</v>
      </c>
      <c r="L34" s="221"/>
      <c r="M34" s="221"/>
      <c r="N34" s="164"/>
      <c r="O34" s="148">
        <v>99000000</v>
      </c>
    </row>
    <row r="35" spans="2:15" ht="18.75" customHeight="1">
      <c r="B35" s="144"/>
      <c r="C35" s="159"/>
      <c r="D35" s="221" t="s">
        <v>52</v>
      </c>
      <c r="E35" s="221"/>
      <c r="F35" s="145"/>
      <c r="G35" s="148">
        <f>SUM(G36:G40)</f>
        <v>308634730</v>
      </c>
      <c r="H35" s="163"/>
      <c r="I35" s="156"/>
      <c r="J35" s="156"/>
      <c r="K35" s="221" t="s">
        <v>45</v>
      </c>
      <c r="L35" s="221"/>
      <c r="M35" s="221"/>
      <c r="N35" s="164"/>
      <c r="O35" s="148">
        <f>O36+O37</f>
        <v>13879928263</v>
      </c>
    </row>
    <row r="36" spans="2:15" ht="18.75" customHeight="1">
      <c r="B36" s="144"/>
      <c r="C36" s="149"/>
      <c r="D36" s="14"/>
      <c r="E36" s="113" t="s">
        <v>53</v>
      </c>
      <c r="F36" s="150"/>
      <c r="G36" s="151">
        <v>150570700</v>
      </c>
      <c r="H36" s="163"/>
      <c r="I36" s="156"/>
      <c r="J36" s="156"/>
      <c r="K36" s="14"/>
      <c r="L36" s="217" t="s">
        <v>46</v>
      </c>
      <c r="M36" s="217"/>
      <c r="N36" s="165"/>
      <c r="O36" s="166">
        <v>24750000</v>
      </c>
    </row>
    <row r="37" spans="2:15" ht="18.75" customHeight="1">
      <c r="B37" s="144"/>
      <c r="C37" s="149"/>
      <c r="D37" s="14"/>
      <c r="E37" s="113" t="s">
        <v>54</v>
      </c>
      <c r="F37" s="150"/>
      <c r="G37" s="157">
        <v>20370000</v>
      </c>
      <c r="H37" s="163"/>
      <c r="I37" s="46"/>
      <c r="J37" s="46"/>
      <c r="K37" s="14"/>
      <c r="L37" s="217" t="s">
        <v>48</v>
      </c>
      <c r="M37" s="217"/>
      <c r="N37" s="113"/>
      <c r="O37" s="151">
        <f>O38</f>
        <v>13855178263</v>
      </c>
    </row>
    <row r="38" spans="2:15" ht="18.75" customHeight="1">
      <c r="B38" s="144"/>
      <c r="C38" s="149"/>
      <c r="D38" s="14"/>
      <c r="E38" s="113" t="s">
        <v>55</v>
      </c>
      <c r="F38" s="150"/>
      <c r="G38" s="157">
        <v>80517670</v>
      </c>
      <c r="H38" s="163"/>
      <c r="I38" s="46"/>
      <c r="J38" s="46"/>
      <c r="K38" s="153"/>
      <c r="L38" s="14"/>
      <c r="M38" s="113" t="s">
        <v>50</v>
      </c>
      <c r="N38" s="113"/>
      <c r="O38" s="151">
        <v>13855178263</v>
      </c>
    </row>
    <row r="39" spans="2:15" ht="18.75" customHeight="1">
      <c r="B39" s="144"/>
      <c r="C39" s="149"/>
      <c r="D39" s="14"/>
      <c r="E39" s="113" t="s">
        <v>56</v>
      </c>
      <c r="F39" s="150"/>
      <c r="G39" s="157">
        <v>42626360</v>
      </c>
      <c r="H39" s="163"/>
      <c r="I39" s="46"/>
      <c r="J39" s="46"/>
      <c r="K39" s="153"/>
      <c r="L39" s="113"/>
      <c r="M39" s="113"/>
      <c r="N39" s="113"/>
      <c r="O39" s="151"/>
    </row>
    <row r="40" spans="2:15" ht="18.75" customHeight="1">
      <c r="B40" s="144"/>
      <c r="C40" s="149"/>
      <c r="D40" s="14"/>
      <c r="E40" s="113" t="s">
        <v>86</v>
      </c>
      <c r="F40" s="150"/>
      <c r="G40" s="151">
        <v>14550000</v>
      </c>
      <c r="H40" s="222" t="s">
        <v>57</v>
      </c>
      <c r="I40" s="223"/>
      <c r="J40" s="223"/>
      <c r="K40" s="223"/>
      <c r="L40" s="223"/>
      <c r="M40" s="223"/>
      <c r="N40" s="224"/>
      <c r="O40" s="162">
        <f>SUM(O33)</f>
        <v>13978928263</v>
      </c>
    </row>
    <row r="41" spans="2:15" ht="18.75" customHeight="1" thickBot="1">
      <c r="B41" s="225" t="s">
        <v>58</v>
      </c>
      <c r="C41" s="226"/>
      <c r="D41" s="226"/>
      <c r="E41" s="226"/>
      <c r="F41" s="227"/>
      <c r="G41" s="170">
        <f>SUM(G7,G22,)</f>
        <v>65808452268</v>
      </c>
      <c r="H41" s="225" t="s">
        <v>59</v>
      </c>
      <c r="I41" s="226"/>
      <c r="J41" s="226"/>
      <c r="K41" s="226"/>
      <c r="L41" s="226"/>
      <c r="M41" s="226"/>
      <c r="N41" s="227"/>
      <c r="O41" s="170">
        <f>O31+O40</f>
        <v>65808452268</v>
      </c>
    </row>
    <row r="42" spans="2:15" ht="18.75" customHeight="1">
      <c r="H42" s="23"/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>
      <c r="I51" s="23"/>
    </row>
    <row r="52" spans="9:9" ht="18.75" customHeight="1">
      <c r="I52" s="23"/>
    </row>
    <row r="53" spans="9:9" ht="18.75" customHeight="1">
      <c r="I53" s="23"/>
    </row>
    <row r="54" spans="9:9" ht="18.75" customHeight="1">
      <c r="I54" s="23"/>
    </row>
    <row r="55" spans="9:9" ht="18.75" customHeight="1">
      <c r="I55" s="23"/>
    </row>
    <row r="56" spans="9:9" ht="18.75" customHeight="1">
      <c r="I56" s="23"/>
    </row>
    <row r="57" spans="9:9" ht="18.75" customHeight="1" collapsed="1"/>
    <row r="58" spans="9:9" ht="36" customHeight="1"/>
    <row r="59" spans="9:9" ht="36" customHeight="1"/>
    <row r="60" spans="9:9" ht="35.25" customHeight="1"/>
    <row r="61" spans="9:9" ht="18.75" customHeight="1"/>
  </sheetData>
  <mergeCells count="36">
    <mergeCell ref="K24:M24"/>
    <mergeCell ref="B41:F41"/>
    <mergeCell ref="H41:N41"/>
    <mergeCell ref="D32:E32"/>
    <mergeCell ref="L37:M37"/>
    <mergeCell ref="L36:M36"/>
    <mergeCell ref="H40:N40"/>
    <mergeCell ref="K34:M34"/>
    <mergeCell ref="D35:E35"/>
    <mergeCell ref="K35:M35"/>
    <mergeCell ref="I33:M33"/>
    <mergeCell ref="H31:N31"/>
    <mergeCell ref="C22:E22"/>
    <mergeCell ref="D23:E23"/>
    <mergeCell ref="K13:M13"/>
    <mergeCell ref="K21:M21"/>
    <mergeCell ref="K14:M14"/>
    <mergeCell ref="K15:M15"/>
    <mergeCell ref="K16:M16"/>
    <mergeCell ref="K17:M17"/>
    <mergeCell ref="K18:M18"/>
    <mergeCell ref="K19:M19"/>
    <mergeCell ref="I22:M22"/>
    <mergeCell ref="K23:M23"/>
    <mergeCell ref="K20:M20"/>
    <mergeCell ref="K11:M11"/>
    <mergeCell ref="K12:M12"/>
    <mergeCell ref="K10:M10"/>
    <mergeCell ref="C7:E7"/>
    <mergeCell ref="I7:M7"/>
    <mergeCell ref="K8:M8"/>
    <mergeCell ref="B5:F5"/>
    <mergeCell ref="H5:N5"/>
    <mergeCell ref="B6:F6"/>
    <mergeCell ref="H6:N6"/>
    <mergeCell ref="K9:M9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1" orientation="portrait" blackAndWhite="1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D8A4-CCC1-42FA-97EB-F7449C66B101}">
  <sheetPr>
    <pageSetUpPr fitToPage="1"/>
  </sheetPr>
  <dimension ref="B1:J31"/>
  <sheetViews>
    <sheetView showGridLines="0" view="pageBreakPreview" zoomScaleNormal="100" zoomScaleSheetLayoutView="100" workbookViewId="0">
      <pane ySplit="5" topLeftCell="A6" activePane="bottomLeft" state="frozen"/>
      <selection activeCell="G11" sqref="G11"/>
      <selection pane="bottomLeft" activeCell="D28" sqref="D28:E28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0" ht="21" customHeight="1"/>
    <row r="2" spans="2:10" s="7" customFormat="1" ht="21">
      <c r="B2" s="2" t="s">
        <v>87</v>
      </c>
      <c r="C2" s="5"/>
      <c r="D2" s="5"/>
      <c r="E2" s="5"/>
      <c r="F2" s="5"/>
      <c r="G2" s="97"/>
      <c r="H2" s="97"/>
    </row>
    <row r="3" spans="2:10" s="7" customFormat="1" ht="17.25" customHeight="1">
      <c r="B3" s="8" t="str">
        <f>'PL（円）銀行説明用'!B3</f>
        <v>(自 令和７年１月１日　至 令和７年12月31日)</v>
      </c>
      <c r="C3" s="5"/>
      <c r="D3" s="5"/>
      <c r="E3" s="5"/>
      <c r="F3" s="5"/>
      <c r="G3" s="97"/>
      <c r="H3" s="97"/>
    </row>
    <row r="4" spans="2:10" ht="17.25" customHeight="1">
      <c r="B4" s="34" t="s">
        <v>3</v>
      </c>
      <c r="C4" s="12"/>
      <c r="D4" s="12"/>
      <c r="E4" s="12"/>
      <c r="F4" s="12"/>
      <c r="G4" s="98"/>
      <c r="H4" s="99" t="s">
        <v>114</v>
      </c>
    </row>
    <row r="5" spans="2:10" s="12" customFormat="1" ht="15" customHeight="1">
      <c r="B5" s="233" t="s">
        <v>7</v>
      </c>
      <c r="C5" s="223"/>
      <c r="D5" s="223"/>
      <c r="E5" s="223"/>
      <c r="F5" s="224"/>
      <c r="G5" s="234" t="s">
        <v>8</v>
      </c>
      <c r="H5" s="235"/>
    </row>
    <row r="6" spans="2:10" s="12" customFormat="1" ht="24.75" customHeight="1">
      <c r="B6" s="16"/>
      <c r="C6" s="221" t="s">
        <v>89</v>
      </c>
      <c r="D6" s="221"/>
      <c r="E6" s="221"/>
      <c r="G6" s="100"/>
      <c r="H6" s="101">
        <v>40055628529</v>
      </c>
      <c r="J6" s="13"/>
    </row>
    <row r="7" spans="2:10" s="12" customFormat="1" ht="24.75" customHeight="1">
      <c r="B7" s="16"/>
      <c r="C7" s="221" t="s">
        <v>90</v>
      </c>
      <c r="D7" s="221"/>
      <c r="E7" s="221"/>
      <c r="G7" s="100"/>
      <c r="H7" s="101"/>
    </row>
    <row r="8" spans="2:10" s="12" customFormat="1" ht="24.75" customHeight="1">
      <c r="B8" s="16"/>
      <c r="C8" s="46"/>
      <c r="D8" s="217" t="s">
        <v>91</v>
      </c>
      <c r="E8" s="217"/>
      <c r="G8" s="103">
        <v>21923271769</v>
      </c>
      <c r="H8" s="101"/>
    </row>
    <row r="9" spans="2:10" s="12" customFormat="1" ht="24.75" customHeight="1">
      <c r="B9" s="16"/>
      <c r="C9" s="46"/>
      <c r="D9" s="217" t="s">
        <v>92</v>
      </c>
      <c r="E9" s="217"/>
      <c r="G9" s="103">
        <v>34917470820</v>
      </c>
      <c r="H9" s="101"/>
    </row>
    <row r="10" spans="2:10" s="12" customFormat="1" ht="24.75" customHeight="1">
      <c r="B10" s="16"/>
      <c r="C10" s="46"/>
      <c r="D10" s="217" t="s">
        <v>93</v>
      </c>
      <c r="E10" s="217"/>
      <c r="G10" s="104">
        <f>SUM(G8:G9)</f>
        <v>56840742589</v>
      </c>
      <c r="H10" s="101"/>
    </row>
    <row r="11" spans="2:10" s="12" customFormat="1" ht="24.75" customHeight="1">
      <c r="B11" s="16"/>
      <c r="C11" s="46"/>
      <c r="D11" s="217" t="s">
        <v>94</v>
      </c>
      <c r="E11" s="217"/>
      <c r="G11" s="105">
        <v>755356361</v>
      </c>
      <c r="H11" s="101"/>
    </row>
    <row r="12" spans="2:10" s="12" customFormat="1" ht="24.75" customHeight="1">
      <c r="B12" s="16"/>
      <c r="C12" s="46"/>
      <c r="D12" s="217" t="s">
        <v>95</v>
      </c>
      <c r="E12" s="217"/>
      <c r="G12" s="128">
        <v>25913063482</v>
      </c>
      <c r="H12" s="102">
        <f>G10-G11-G12</f>
        <v>30172322746</v>
      </c>
    </row>
    <row r="13" spans="2:10" s="12" customFormat="1" ht="24.75" customHeight="1">
      <c r="B13" s="16"/>
      <c r="D13" s="221" t="s">
        <v>96</v>
      </c>
      <c r="E13" s="221"/>
      <c r="G13" s="100"/>
      <c r="H13" s="101">
        <f>+H6-H12</f>
        <v>9883305783</v>
      </c>
    </row>
    <row r="14" spans="2:10" s="12" customFormat="1" ht="24.75" customHeight="1">
      <c r="B14" s="16"/>
      <c r="C14" s="221" t="s">
        <v>97</v>
      </c>
      <c r="D14" s="221"/>
      <c r="E14" s="221"/>
      <c r="G14" s="100"/>
      <c r="H14" s="102">
        <v>4125941769</v>
      </c>
    </row>
    <row r="15" spans="2:10" s="12" customFormat="1" ht="24.75" customHeight="1">
      <c r="B15" s="16"/>
      <c r="C15" s="46"/>
      <c r="D15" s="221" t="s">
        <v>98</v>
      </c>
      <c r="E15" s="221"/>
      <c r="G15" s="100"/>
      <c r="H15" s="101">
        <f>+H13-H14</f>
        <v>5757364014</v>
      </c>
      <c r="J15" s="13"/>
    </row>
    <row r="16" spans="2:10" s="12" customFormat="1" ht="24.75" customHeight="1">
      <c r="B16" s="16"/>
      <c r="C16" s="221" t="s">
        <v>99</v>
      </c>
      <c r="D16" s="221"/>
      <c r="E16" s="221"/>
      <c r="G16" s="100"/>
      <c r="H16" s="101"/>
    </row>
    <row r="17" spans="2:10" s="12" customFormat="1" ht="24.75" customHeight="1">
      <c r="B17" s="16"/>
      <c r="D17" s="217" t="s">
        <v>100</v>
      </c>
      <c r="E17" s="217"/>
      <c r="F17" s="14"/>
      <c r="G17" s="103">
        <v>12205025</v>
      </c>
      <c r="H17" s="101"/>
    </row>
    <row r="18" spans="2:10" s="12" customFormat="1" ht="24.75" customHeight="1">
      <c r="B18" s="16"/>
      <c r="D18" s="217" t="s">
        <v>101</v>
      </c>
      <c r="E18" s="217"/>
      <c r="F18" s="14"/>
      <c r="G18" s="103">
        <v>295342</v>
      </c>
      <c r="H18" s="101"/>
    </row>
    <row r="19" spans="2:10" s="12" customFormat="1" ht="24.75" customHeight="1">
      <c r="B19" s="16"/>
      <c r="D19" s="217" t="s">
        <v>102</v>
      </c>
      <c r="E19" s="217"/>
      <c r="F19" s="14"/>
      <c r="G19" s="128">
        <v>35202381</v>
      </c>
      <c r="H19" s="101">
        <f>SUM(G17:G19)</f>
        <v>47702748</v>
      </c>
    </row>
    <row r="20" spans="2:10" s="12" customFormat="1" ht="24.75" customHeight="1">
      <c r="B20" s="16"/>
      <c r="C20" s="221" t="s">
        <v>103</v>
      </c>
      <c r="D20" s="221"/>
      <c r="E20" s="221"/>
      <c r="G20" s="101"/>
      <c r="H20" s="101"/>
    </row>
    <row r="21" spans="2:10" s="12" customFormat="1" ht="24.75" customHeight="1">
      <c r="B21" s="16"/>
      <c r="D21" s="217" t="s">
        <v>104</v>
      </c>
      <c r="E21" s="217"/>
      <c r="F21" s="14"/>
      <c r="G21" s="128">
        <v>777443792</v>
      </c>
      <c r="H21" s="102">
        <f>SUM(G21:G21)</f>
        <v>777443792</v>
      </c>
      <c r="I21" s="15"/>
    </row>
    <row r="22" spans="2:10" s="12" customFormat="1" ht="24.75" customHeight="1">
      <c r="B22" s="16"/>
      <c r="C22" s="46"/>
      <c r="D22" s="221" t="s">
        <v>105</v>
      </c>
      <c r="E22" s="221"/>
      <c r="G22" s="100"/>
      <c r="H22" s="101">
        <f>H15+H19-H21</f>
        <v>5027622970</v>
      </c>
      <c r="J22" s="13"/>
    </row>
    <row r="23" spans="2:10" s="12" customFormat="1" ht="24.75" customHeight="1">
      <c r="B23" s="16"/>
      <c r="C23" s="221" t="s">
        <v>108</v>
      </c>
      <c r="D23" s="221"/>
      <c r="E23" s="221"/>
      <c r="G23" s="100"/>
      <c r="H23" s="101"/>
    </row>
    <row r="24" spans="2:10" s="12" customFormat="1" ht="24.75" customHeight="1">
      <c r="B24" s="16"/>
      <c r="C24" s="46"/>
      <c r="D24" s="217" t="s">
        <v>29</v>
      </c>
      <c r="E24" s="217"/>
      <c r="G24" s="128">
        <v>29310596</v>
      </c>
      <c r="H24" s="101">
        <f>SUM(G24:G24)</f>
        <v>29310596</v>
      </c>
    </row>
    <row r="25" spans="2:10" s="12" customFormat="1" ht="24.75" customHeight="1">
      <c r="B25" s="16"/>
      <c r="C25" s="46"/>
      <c r="D25" s="221" t="s">
        <v>109</v>
      </c>
      <c r="E25" s="221"/>
      <c r="G25" s="101"/>
      <c r="H25" s="106">
        <f>H22-H24</f>
        <v>4998312374</v>
      </c>
    </row>
    <row r="26" spans="2:10" s="12" customFormat="1" ht="24.75" customHeight="1">
      <c r="B26" s="17" t="s">
        <v>110</v>
      </c>
      <c r="C26" s="113"/>
      <c r="D26" s="217" t="s">
        <v>110</v>
      </c>
      <c r="E26" s="217"/>
      <c r="G26" s="105">
        <v>1747587084</v>
      </c>
      <c r="H26" s="105"/>
    </row>
    <row r="27" spans="2:10" s="12" customFormat="1" ht="24.75" customHeight="1">
      <c r="B27" s="17" t="s">
        <v>110</v>
      </c>
      <c r="C27" s="113"/>
      <c r="D27" s="217" t="s">
        <v>111</v>
      </c>
      <c r="E27" s="217"/>
      <c r="G27" s="128">
        <v>0</v>
      </c>
      <c r="H27" s="105">
        <f>SUM(G26:G27)</f>
        <v>1747587084</v>
      </c>
    </row>
    <row r="28" spans="2:10" ht="24.75" customHeight="1">
      <c r="B28" s="18"/>
      <c r="C28" s="19"/>
      <c r="D28" s="236" t="s">
        <v>112</v>
      </c>
      <c r="E28" s="236"/>
      <c r="F28" s="20"/>
      <c r="G28" s="107"/>
      <c r="H28" s="108">
        <f>+H25-H27</f>
        <v>3250725290</v>
      </c>
      <c r="J28" s="9"/>
    </row>
    <row r="31" spans="2:10">
      <c r="H31" s="109"/>
    </row>
  </sheetData>
  <mergeCells count="25">
    <mergeCell ref="D26:E26"/>
    <mergeCell ref="D25:E25"/>
    <mergeCell ref="D27:E27"/>
    <mergeCell ref="D28:E28"/>
    <mergeCell ref="D21:E21"/>
    <mergeCell ref="D22:E22"/>
    <mergeCell ref="D24:E24"/>
    <mergeCell ref="C23:E23"/>
    <mergeCell ref="D15:E15"/>
    <mergeCell ref="B5:F5"/>
    <mergeCell ref="D10:E10"/>
    <mergeCell ref="D12:E12"/>
    <mergeCell ref="D13:E13"/>
    <mergeCell ref="C14:E14"/>
    <mergeCell ref="D11:E11"/>
    <mergeCell ref="C16:E16"/>
    <mergeCell ref="D17:E17"/>
    <mergeCell ref="D18:E18"/>
    <mergeCell ref="D19:E19"/>
    <mergeCell ref="C20:E20"/>
    <mergeCell ref="G5:H5"/>
    <mergeCell ref="C6:E6"/>
    <mergeCell ref="C7:E7"/>
    <mergeCell ref="D8:E8"/>
    <mergeCell ref="D9:E9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39A2-5954-4F3D-9A28-628031F3B582}">
  <sheetPr>
    <pageSetUpPr fitToPage="1"/>
  </sheetPr>
  <dimension ref="B1:J40"/>
  <sheetViews>
    <sheetView showGridLines="0" view="pageBreakPreview" zoomScaleNormal="75" zoomScaleSheetLayoutView="100" workbookViewId="0">
      <pane ySplit="4" topLeftCell="A5" activePane="bottomLeft" state="frozen"/>
      <selection activeCell="G19" sqref="G19"/>
      <selection pane="bottomLeft" activeCell="J15" sqref="J15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6" width="20.25" style="1" customWidth="1"/>
    <col min="7" max="9" width="20.25" style="3" customWidth="1"/>
    <col min="10" max="10" width="20.25" style="96" customWidth="1"/>
    <col min="11" max="11" width="18" style="4" customWidth="1"/>
    <col min="12" max="16384" width="9" style="4"/>
  </cols>
  <sheetData>
    <row r="1" spans="2:10" ht="21" customHeight="1"/>
    <row r="2" spans="2:10" s="7" customFormat="1" ht="21">
      <c r="B2" s="2" t="s">
        <v>115</v>
      </c>
      <c r="C2" s="5"/>
      <c r="D2" s="5"/>
      <c r="E2" s="5"/>
      <c r="F2" s="5"/>
      <c r="G2" s="6"/>
      <c r="H2" s="6"/>
      <c r="I2" s="6"/>
      <c r="J2" s="97"/>
    </row>
    <row r="3" spans="2:10" s="7" customFormat="1" ht="17.25" customHeight="1">
      <c r="B3" s="8" t="s">
        <v>154</v>
      </c>
      <c r="C3" s="5"/>
      <c r="D3" s="5"/>
      <c r="E3" s="5"/>
      <c r="F3" s="5"/>
      <c r="G3" s="6"/>
      <c r="H3" s="6"/>
      <c r="I3" s="6"/>
      <c r="J3" s="97"/>
    </row>
    <row r="4" spans="2:10" ht="17.25" customHeight="1">
      <c r="B4" s="35" t="s">
        <v>3</v>
      </c>
      <c r="C4" s="12"/>
      <c r="D4" s="12"/>
      <c r="E4" s="12"/>
      <c r="F4" s="12"/>
      <c r="G4" s="13"/>
      <c r="H4" s="13"/>
      <c r="I4" s="13"/>
      <c r="J4" s="99" t="s">
        <v>114</v>
      </c>
    </row>
    <row r="5" spans="2:10" s="188" customFormat="1" ht="17.25" customHeight="1">
      <c r="B5" s="191"/>
      <c r="C5" s="187"/>
      <c r="D5" s="187"/>
      <c r="E5" s="187"/>
      <c r="F5" s="187"/>
      <c r="G5" s="190"/>
      <c r="H5" s="190"/>
      <c r="I5" s="190"/>
      <c r="J5" s="189"/>
    </row>
    <row r="6" spans="2:10" ht="18.600000000000001" customHeight="1">
      <c r="B6" s="35"/>
      <c r="C6" s="237"/>
      <c r="D6" s="238"/>
      <c r="E6" s="243" t="s">
        <v>117</v>
      </c>
      <c r="F6" s="243"/>
      <c r="G6" s="243"/>
      <c r="H6" s="243"/>
      <c r="I6" s="243"/>
      <c r="J6" s="245" t="s">
        <v>141</v>
      </c>
    </row>
    <row r="7" spans="2:10" ht="18.600000000000001" customHeight="1">
      <c r="B7" s="35"/>
      <c r="C7" s="239"/>
      <c r="D7" s="240"/>
      <c r="E7" s="243" t="s">
        <v>119</v>
      </c>
      <c r="F7" s="243" t="s">
        <v>120</v>
      </c>
      <c r="G7" s="243"/>
      <c r="H7" s="243"/>
      <c r="I7" s="246" t="s">
        <v>121</v>
      </c>
      <c r="J7" s="245"/>
    </row>
    <row r="8" spans="2:10" ht="36" customHeight="1">
      <c r="B8" s="35"/>
      <c r="C8" s="239"/>
      <c r="D8" s="240"/>
      <c r="E8" s="243"/>
      <c r="F8" s="243" t="s">
        <v>122</v>
      </c>
      <c r="G8" s="136" t="s">
        <v>123</v>
      </c>
      <c r="H8" s="246" t="s">
        <v>124</v>
      </c>
      <c r="I8" s="246"/>
      <c r="J8" s="245"/>
    </row>
    <row r="9" spans="2:10" ht="36" customHeight="1">
      <c r="B9" s="35"/>
      <c r="C9" s="241"/>
      <c r="D9" s="242"/>
      <c r="E9" s="243"/>
      <c r="F9" s="243"/>
      <c r="G9" s="132" t="s">
        <v>125</v>
      </c>
      <c r="H9" s="246"/>
      <c r="I9" s="246"/>
      <c r="J9" s="245"/>
    </row>
    <row r="10" spans="2:10" ht="36" customHeight="1">
      <c r="B10" s="35"/>
      <c r="C10" s="131" t="s">
        <v>126</v>
      </c>
      <c r="D10" s="133"/>
      <c r="E10" s="192">
        <f>J19</f>
        <v>99000000</v>
      </c>
      <c r="F10" s="192">
        <f>J22</f>
        <v>24750000</v>
      </c>
      <c r="G10" s="192">
        <f>J25</f>
        <v>11901432973</v>
      </c>
      <c r="H10" s="192">
        <f>F10+G10</f>
        <v>11926182973</v>
      </c>
      <c r="I10" s="192">
        <f>E10+H10</f>
        <v>12025182973</v>
      </c>
      <c r="J10" s="193">
        <f>I10</f>
        <v>12025182973</v>
      </c>
    </row>
    <row r="11" spans="2:10" ht="36" customHeight="1">
      <c r="B11" s="35"/>
      <c r="C11" s="131" t="s">
        <v>127</v>
      </c>
      <c r="D11" s="133"/>
      <c r="E11" s="192"/>
      <c r="F11" s="192"/>
      <c r="G11" s="192"/>
      <c r="H11" s="192"/>
      <c r="I11" s="192"/>
      <c r="J11" s="193"/>
    </row>
    <row r="12" spans="2:10" ht="36" customHeight="1">
      <c r="B12" s="35"/>
      <c r="C12" s="134"/>
      <c r="D12" s="135" t="s">
        <v>128</v>
      </c>
      <c r="E12" s="192">
        <v>0</v>
      </c>
      <c r="F12" s="192">
        <v>0</v>
      </c>
      <c r="G12" s="192">
        <f>'PL（円）'!H28</f>
        <v>3250725290</v>
      </c>
      <c r="H12" s="192">
        <f>F12+G12</f>
        <v>3250725290</v>
      </c>
      <c r="I12" s="192">
        <f>E12+H12</f>
        <v>3250725290</v>
      </c>
      <c r="J12" s="192">
        <f>I12</f>
        <v>3250725290</v>
      </c>
    </row>
    <row r="13" spans="2:10" ht="36" customHeight="1">
      <c r="B13" s="35"/>
      <c r="C13" s="134"/>
      <c r="D13" s="135" t="s">
        <v>148</v>
      </c>
      <c r="E13" s="192">
        <v>0</v>
      </c>
      <c r="F13" s="192">
        <v>0</v>
      </c>
      <c r="G13" s="192">
        <v>-1296980000</v>
      </c>
      <c r="H13" s="192">
        <f>F13+G13</f>
        <v>-1296980000</v>
      </c>
      <c r="I13" s="192">
        <f>E13+H13</f>
        <v>-1296980000</v>
      </c>
      <c r="J13" s="192">
        <f>I13</f>
        <v>-1296980000</v>
      </c>
    </row>
    <row r="14" spans="2:10" ht="36" customHeight="1">
      <c r="B14" s="35"/>
      <c r="C14" s="131" t="s">
        <v>129</v>
      </c>
      <c r="D14" s="131"/>
      <c r="E14" s="192">
        <f t="shared" ref="E14:J14" si="0">SUM(E12:E13)</f>
        <v>0</v>
      </c>
      <c r="F14" s="192">
        <f t="shared" si="0"/>
        <v>0</v>
      </c>
      <c r="G14" s="192">
        <f t="shared" si="0"/>
        <v>1953745290</v>
      </c>
      <c r="H14" s="192">
        <f t="shared" si="0"/>
        <v>1953745290</v>
      </c>
      <c r="I14" s="192">
        <f t="shared" si="0"/>
        <v>1953745290</v>
      </c>
      <c r="J14" s="192">
        <f t="shared" si="0"/>
        <v>1953745290</v>
      </c>
    </row>
    <row r="15" spans="2:10" ht="36" customHeight="1">
      <c r="B15" s="35"/>
      <c r="C15" s="131" t="s">
        <v>130</v>
      </c>
      <c r="D15" s="131"/>
      <c r="E15" s="192">
        <f t="shared" ref="E15:J15" si="1">E10+E14</f>
        <v>99000000</v>
      </c>
      <c r="F15" s="192">
        <f t="shared" si="1"/>
        <v>24750000</v>
      </c>
      <c r="G15" s="192">
        <f t="shared" si="1"/>
        <v>13855178263</v>
      </c>
      <c r="H15" s="192">
        <f t="shared" si="1"/>
        <v>13879928263</v>
      </c>
      <c r="I15" s="192">
        <f t="shared" si="1"/>
        <v>13978928263</v>
      </c>
      <c r="J15" s="193">
        <f t="shared" si="1"/>
        <v>13978928263</v>
      </c>
    </row>
    <row r="16" spans="2:10" ht="17.25" customHeight="1">
      <c r="B16" s="35"/>
      <c r="C16" s="14"/>
      <c r="D16" s="14"/>
      <c r="E16" s="14"/>
      <c r="F16" s="14"/>
      <c r="G16" s="36"/>
      <c r="H16" s="36"/>
      <c r="I16" s="36"/>
      <c r="J16" s="99"/>
    </row>
    <row r="17" spans="2:10" ht="17.25" customHeight="1">
      <c r="B17" s="35"/>
      <c r="C17" s="14"/>
      <c r="D17" s="14"/>
      <c r="E17" s="14"/>
      <c r="F17" s="14"/>
      <c r="G17" s="36"/>
      <c r="H17" s="36"/>
      <c r="I17" s="36"/>
      <c r="J17" s="99"/>
    </row>
    <row r="18" spans="2:10" s="12" customFormat="1" ht="24.75" customHeight="1">
      <c r="C18" s="247" t="s">
        <v>131</v>
      </c>
      <c r="D18" s="247"/>
      <c r="E18" s="247"/>
      <c r="F18" s="187"/>
      <c r="G18" s="186"/>
      <c r="H18" s="186"/>
      <c r="I18" s="186"/>
      <c r="J18" s="185"/>
    </row>
    <row r="19" spans="2:10" s="12" customFormat="1" ht="24.75" customHeight="1">
      <c r="C19" s="181"/>
      <c r="D19" s="247" t="s">
        <v>43</v>
      </c>
      <c r="E19" s="247"/>
      <c r="F19" s="187"/>
      <c r="G19" s="186" t="s">
        <v>126</v>
      </c>
      <c r="H19" s="186"/>
      <c r="I19" s="186"/>
      <c r="J19" s="184">
        <v>99000000</v>
      </c>
    </row>
    <row r="20" spans="2:10" s="12" customFormat="1" ht="24.75" customHeight="1">
      <c r="C20" s="181"/>
      <c r="D20" s="247"/>
      <c r="E20" s="247"/>
      <c r="F20" s="187"/>
      <c r="G20" s="186" t="s">
        <v>132</v>
      </c>
      <c r="H20" s="186"/>
      <c r="I20" s="186"/>
      <c r="J20" s="183">
        <f>SUM(J19:J19)</f>
        <v>99000000</v>
      </c>
    </row>
    <row r="21" spans="2:10" s="12" customFormat="1" ht="24.75" customHeight="1">
      <c r="C21" s="181"/>
      <c r="D21" s="247" t="s">
        <v>133</v>
      </c>
      <c r="E21" s="247"/>
      <c r="F21" s="187"/>
      <c r="G21" s="186"/>
      <c r="H21" s="186"/>
      <c r="I21" s="186"/>
      <c r="J21" s="185"/>
    </row>
    <row r="22" spans="2:10" s="12" customFormat="1" ht="24.75" customHeight="1">
      <c r="C22" s="181"/>
      <c r="D22" s="247" t="s">
        <v>134</v>
      </c>
      <c r="E22" s="247"/>
      <c r="F22" s="187"/>
      <c r="G22" s="186" t="s">
        <v>126</v>
      </c>
      <c r="H22" s="186"/>
      <c r="I22" s="186"/>
      <c r="J22" s="184">
        <v>24750000</v>
      </c>
    </row>
    <row r="23" spans="2:10" s="12" customFormat="1" ht="24.75" customHeight="1">
      <c r="C23" s="181"/>
      <c r="D23" s="247"/>
      <c r="E23" s="247"/>
      <c r="F23" s="187"/>
      <c r="G23" s="186" t="s">
        <v>130</v>
      </c>
      <c r="H23" s="186"/>
      <c r="I23" s="186"/>
      <c r="J23" s="183">
        <f>SUM(J22:J22)</f>
        <v>24750000</v>
      </c>
    </row>
    <row r="24" spans="2:10" s="12" customFormat="1" ht="24.75" customHeight="1">
      <c r="C24" s="181"/>
      <c r="D24" s="247" t="s">
        <v>135</v>
      </c>
      <c r="E24" s="247"/>
      <c r="F24" s="187"/>
      <c r="G24" s="186"/>
      <c r="H24" s="186"/>
      <c r="I24" s="186"/>
      <c r="J24" s="185"/>
    </row>
    <row r="25" spans="2:10" s="12" customFormat="1" ht="24.75" customHeight="1">
      <c r="C25" s="181"/>
      <c r="D25" s="247" t="s">
        <v>136</v>
      </c>
      <c r="E25" s="247"/>
      <c r="F25" s="187"/>
      <c r="G25" s="186" t="s">
        <v>126</v>
      </c>
      <c r="H25" s="186"/>
      <c r="I25" s="186"/>
      <c r="J25" s="184">
        <v>11901432973</v>
      </c>
    </row>
    <row r="26" spans="2:10" s="12" customFormat="1" ht="24.75" customHeight="1">
      <c r="C26" s="181"/>
      <c r="D26" s="247"/>
      <c r="E26" s="247"/>
      <c r="F26" s="187"/>
      <c r="G26" s="186" t="s">
        <v>137</v>
      </c>
      <c r="H26" s="186"/>
      <c r="I26" s="186"/>
      <c r="J26" s="184">
        <f>'PL（円）'!H28</f>
        <v>3250725290</v>
      </c>
    </row>
    <row r="27" spans="2:10" s="12" customFormat="1" ht="24.75" customHeight="1">
      <c r="C27" s="181"/>
      <c r="D27" s="182"/>
      <c r="E27" s="182"/>
      <c r="F27" s="187"/>
      <c r="G27" s="186" t="s">
        <v>149</v>
      </c>
      <c r="H27" s="186"/>
      <c r="I27" s="186"/>
      <c r="J27" s="184">
        <v>-1296980000</v>
      </c>
    </row>
    <row r="28" spans="2:10" s="12" customFormat="1" ht="24.75" customHeight="1">
      <c r="C28" s="181"/>
      <c r="D28" s="247"/>
      <c r="E28" s="247"/>
      <c r="F28" s="187"/>
      <c r="G28" s="186" t="s">
        <v>130</v>
      </c>
      <c r="H28" s="186"/>
      <c r="I28" s="186"/>
      <c r="J28" s="183">
        <f>SUM(J25:J27)</f>
        <v>13855178263</v>
      </c>
    </row>
    <row r="29" spans="2:10" s="12" customFormat="1" ht="24.75" customHeight="1">
      <c r="C29" s="181"/>
      <c r="D29" s="247" t="s">
        <v>138</v>
      </c>
      <c r="E29" s="247"/>
      <c r="F29" s="187"/>
      <c r="G29" s="186" t="s">
        <v>126</v>
      </c>
      <c r="H29" s="186"/>
      <c r="I29" s="186"/>
      <c r="J29" s="184">
        <f>J22+J25</f>
        <v>11926182973</v>
      </c>
    </row>
    <row r="30" spans="2:10" s="12" customFormat="1" ht="24.75" customHeight="1">
      <c r="C30" s="181"/>
      <c r="D30" s="247"/>
      <c r="E30" s="247"/>
      <c r="F30" s="187"/>
      <c r="G30" s="186" t="s">
        <v>127</v>
      </c>
      <c r="H30" s="186"/>
      <c r="I30" s="186"/>
      <c r="J30" s="184">
        <f>SUM(J26:J27)</f>
        <v>1953745290</v>
      </c>
    </row>
    <row r="31" spans="2:10" s="12" customFormat="1" ht="24.75" customHeight="1">
      <c r="C31" s="181"/>
      <c r="D31" s="247"/>
      <c r="E31" s="247"/>
      <c r="F31" s="187"/>
      <c r="G31" s="186" t="s">
        <v>130</v>
      </c>
      <c r="H31" s="186"/>
      <c r="I31" s="186"/>
      <c r="J31" s="183">
        <f>SUM(J29:J30)</f>
        <v>13879928263</v>
      </c>
    </row>
    <row r="32" spans="2:10" s="12" customFormat="1" ht="24.75" customHeight="1">
      <c r="C32" s="181"/>
      <c r="D32" s="247" t="s">
        <v>139</v>
      </c>
      <c r="E32" s="247"/>
      <c r="F32" s="187"/>
      <c r="G32" s="186" t="s">
        <v>126</v>
      </c>
      <c r="H32" s="186"/>
      <c r="I32" s="186"/>
      <c r="J32" s="184">
        <f>J19+J29</f>
        <v>12025182973</v>
      </c>
    </row>
    <row r="33" spans="3:10" s="12" customFormat="1" ht="24.75" customHeight="1">
      <c r="C33" s="181"/>
      <c r="D33" s="247"/>
      <c r="E33" s="247"/>
      <c r="F33" s="187"/>
      <c r="G33" s="186" t="s">
        <v>127</v>
      </c>
      <c r="H33" s="186"/>
      <c r="I33" s="186"/>
      <c r="J33" s="184">
        <f>J30</f>
        <v>1953745290</v>
      </c>
    </row>
    <row r="34" spans="3:10" s="12" customFormat="1" ht="24.75" customHeight="1">
      <c r="C34" s="181"/>
      <c r="D34" s="247"/>
      <c r="E34" s="247"/>
      <c r="F34" s="187"/>
      <c r="G34" s="186" t="s">
        <v>130</v>
      </c>
      <c r="H34" s="186"/>
      <c r="I34" s="186"/>
      <c r="J34" s="183">
        <f>J32+J33</f>
        <v>13978928263</v>
      </c>
    </row>
    <row r="35" spans="3:10" s="12" customFormat="1" ht="24.75" customHeight="1">
      <c r="C35" s="248" t="s">
        <v>140</v>
      </c>
      <c r="D35" s="248"/>
      <c r="E35" s="248"/>
      <c r="F35" s="187"/>
      <c r="G35" s="186" t="s">
        <v>126</v>
      </c>
      <c r="H35" s="186"/>
      <c r="I35" s="186"/>
      <c r="J35" s="184">
        <f>J32</f>
        <v>12025182973</v>
      </c>
    </row>
    <row r="36" spans="3:10" s="12" customFormat="1" ht="24.75" customHeight="1">
      <c r="C36" s="187"/>
      <c r="D36" s="247"/>
      <c r="E36" s="247"/>
      <c r="F36" s="187"/>
      <c r="G36" s="186" t="s">
        <v>127</v>
      </c>
      <c r="H36" s="186"/>
      <c r="I36" s="186"/>
      <c r="J36" s="184">
        <f>J33</f>
        <v>1953745290</v>
      </c>
    </row>
    <row r="37" spans="3:10" s="12" customFormat="1" ht="24.75" customHeight="1">
      <c r="C37" s="187"/>
      <c r="D37" s="247"/>
      <c r="E37" s="247"/>
      <c r="F37" s="187"/>
      <c r="G37" s="186" t="s">
        <v>130</v>
      </c>
      <c r="H37" s="186"/>
      <c r="I37" s="186"/>
      <c r="J37" s="180">
        <f>J35+J36</f>
        <v>13978928263</v>
      </c>
    </row>
    <row r="40" spans="3:10">
      <c r="J40" s="109"/>
    </row>
  </sheetData>
  <mergeCells count="27">
    <mergeCell ref="D37:E37"/>
    <mergeCell ref="E6:I6"/>
    <mergeCell ref="E7:E9"/>
    <mergeCell ref="F7:H7"/>
    <mergeCell ref="I7:I9"/>
    <mergeCell ref="D32:E32"/>
    <mergeCell ref="D33:E33"/>
    <mergeCell ref="D34:E34"/>
    <mergeCell ref="C35:E35"/>
    <mergeCell ref="D36:E36"/>
    <mergeCell ref="D23:E23"/>
    <mergeCell ref="J6:J9"/>
    <mergeCell ref="F8:F9"/>
    <mergeCell ref="H8:H9"/>
    <mergeCell ref="C6:D9"/>
    <mergeCell ref="D31:E31"/>
    <mergeCell ref="D24:E24"/>
    <mergeCell ref="D25:E25"/>
    <mergeCell ref="D26:E26"/>
    <mergeCell ref="D28:E28"/>
    <mergeCell ref="D29:E29"/>
    <mergeCell ref="D30:E30"/>
    <mergeCell ref="C18:E18"/>
    <mergeCell ref="D19:E19"/>
    <mergeCell ref="D20:E20"/>
    <mergeCell ref="D21:E21"/>
    <mergeCell ref="D22:E22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59" orientation="portrait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32F9-AE8B-4B84-84E4-AA37197DE27C}">
  <dimension ref="A1:C18"/>
  <sheetViews>
    <sheetView showGridLines="0" zoomScaleNormal="100" workbookViewId="0">
      <selection activeCell="B18" sqref="B18"/>
    </sheetView>
  </sheetViews>
  <sheetFormatPr defaultColWidth="15.875" defaultRowHeight="21" customHeight="1"/>
  <cols>
    <col min="1" max="1" width="19.625" style="115" customWidth="1"/>
    <col min="2" max="2" width="15.875" style="114"/>
    <col min="3" max="3" width="5.875" style="114" customWidth="1"/>
    <col min="4" max="16384" width="15.875" style="114"/>
  </cols>
  <sheetData>
    <row r="1" spans="1:3" ht="21" customHeight="1">
      <c r="A1" s="119" t="s">
        <v>142</v>
      </c>
    </row>
    <row r="2" spans="1:3" ht="21" customHeight="1">
      <c r="A2" s="117">
        <v>45627</v>
      </c>
      <c r="B2" s="116">
        <v>1980</v>
      </c>
      <c r="C2" s="114" t="s">
        <v>143</v>
      </c>
    </row>
    <row r="3" spans="1:3" ht="21" customHeight="1">
      <c r="A3" s="117">
        <v>45658</v>
      </c>
      <c r="B3" s="116">
        <v>1980</v>
      </c>
      <c r="C3" s="114" t="s">
        <v>143</v>
      </c>
    </row>
    <row r="4" spans="1:3" ht="21" customHeight="1">
      <c r="A4" s="117">
        <v>45689</v>
      </c>
      <c r="B4" s="116">
        <v>1980</v>
      </c>
      <c r="C4" s="114" t="s">
        <v>143</v>
      </c>
    </row>
    <row r="5" spans="1:3" ht="21" customHeight="1">
      <c r="A5" s="117">
        <v>45717</v>
      </c>
      <c r="B5" s="116">
        <v>1980</v>
      </c>
      <c r="C5" s="114" t="s">
        <v>143</v>
      </c>
    </row>
    <row r="6" spans="1:3" ht="21" customHeight="1">
      <c r="A6" s="117">
        <v>45748</v>
      </c>
      <c r="B6" s="116">
        <v>1980</v>
      </c>
      <c r="C6" s="114" t="s">
        <v>143</v>
      </c>
    </row>
    <row r="7" spans="1:3" ht="21" customHeight="1">
      <c r="A7" s="117">
        <v>45778</v>
      </c>
      <c r="B7" s="116">
        <v>1980</v>
      </c>
      <c r="C7" s="114" t="s">
        <v>143</v>
      </c>
    </row>
    <row r="8" spans="1:3" ht="21" customHeight="1">
      <c r="A8" s="117">
        <v>45809</v>
      </c>
      <c r="B8" s="116">
        <v>1980</v>
      </c>
      <c r="C8" s="114" t="s">
        <v>143</v>
      </c>
    </row>
    <row r="9" spans="1:3" ht="21" customHeight="1">
      <c r="A9" s="117">
        <v>45839</v>
      </c>
      <c r="B9" s="116">
        <v>1980</v>
      </c>
      <c r="C9" s="114" t="s">
        <v>143</v>
      </c>
    </row>
    <row r="10" spans="1:3" ht="21" customHeight="1">
      <c r="A10" s="117">
        <v>45870</v>
      </c>
      <c r="B10" s="116">
        <v>1980</v>
      </c>
      <c r="C10" s="114" t="s">
        <v>143</v>
      </c>
    </row>
    <row r="11" spans="1:3" ht="21" customHeight="1">
      <c r="A11" s="117">
        <v>45901</v>
      </c>
      <c r="B11" s="116">
        <v>1980</v>
      </c>
      <c r="C11" s="114" t="s">
        <v>143</v>
      </c>
    </row>
    <row r="12" spans="1:3" ht="21" customHeight="1">
      <c r="A12" s="117">
        <v>45931</v>
      </c>
      <c r="B12" s="116">
        <v>1980</v>
      </c>
      <c r="C12" s="114" t="s">
        <v>143</v>
      </c>
    </row>
    <row r="13" spans="1:3" ht="21" customHeight="1">
      <c r="A13" s="117">
        <v>45962</v>
      </c>
      <c r="B13" s="116">
        <v>1980</v>
      </c>
      <c r="C13" s="114" t="s">
        <v>143</v>
      </c>
    </row>
    <row r="14" spans="1:3" ht="21" customHeight="1">
      <c r="A14" s="117">
        <v>45992</v>
      </c>
      <c r="B14" s="116">
        <v>1980</v>
      </c>
      <c r="C14" s="114" t="s">
        <v>143</v>
      </c>
    </row>
    <row r="15" spans="1:3" ht="21" customHeight="1">
      <c r="A15" s="115" t="s">
        <v>144</v>
      </c>
      <c r="B15" s="118">
        <f>AVERAGE(B3:B14)</f>
        <v>1980</v>
      </c>
      <c r="C15" s="114" t="s">
        <v>143</v>
      </c>
    </row>
    <row r="17" spans="1:2" ht="21" customHeight="1">
      <c r="A17" s="115" t="s">
        <v>145</v>
      </c>
      <c r="B17" s="129">
        <f>'BS（円）'!O40/((B2+B14)/2)</f>
        <v>7060064.779292929</v>
      </c>
    </row>
    <row r="18" spans="1:2" ht="21" customHeight="1">
      <c r="A18" s="115" t="s">
        <v>146</v>
      </c>
      <c r="B18" s="129">
        <f>'PL（円）'!H28/期中平均株式数!B15</f>
        <v>1641780.4494949495</v>
      </c>
    </row>
  </sheetData>
  <phoneticPr fontId="29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D6B6-4B94-4D5E-8D31-8C4C5544137B}">
  <sheetPr>
    <tabColor theme="9" tint="0.79998168889431442"/>
    <pageSetUpPr fitToPage="1"/>
  </sheetPr>
  <dimension ref="B1:P59"/>
  <sheetViews>
    <sheetView showGridLines="0" view="pageBreakPreview" zoomScaleNormal="75" zoomScaleSheetLayoutView="100" workbookViewId="0">
      <pane ySplit="6" topLeftCell="A7" activePane="bottomLeft" state="frozen"/>
      <selection activeCell="B6" sqref="B6:F6"/>
      <selection pane="bottomLeft" activeCell="G16" sqref="G16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6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6" style="1" customWidth="1"/>
    <col min="14" max="14" width="1.125" style="1" customWidth="1"/>
    <col min="15" max="15" width="20.875" style="82" customWidth="1"/>
    <col min="16" max="16" width="17.875" style="1" bestFit="1" customWidth="1"/>
    <col min="17" max="16384" width="9" style="1"/>
  </cols>
  <sheetData>
    <row r="1" spans="2:16" ht="21" customHeight="1"/>
    <row r="2" spans="2:16" ht="21">
      <c r="B2" s="2" t="s">
        <v>2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6" ht="17.25" customHeight="1">
      <c r="B3" s="8" t="str">
        <f>'BS（千円）'!B3</f>
        <v>(令和７年12月31日 現在)</v>
      </c>
      <c r="C3" s="32"/>
      <c r="D3" s="32"/>
      <c r="E3" s="32"/>
      <c r="F3" s="32"/>
      <c r="G3" s="84"/>
      <c r="H3" s="32"/>
      <c r="I3" s="32"/>
      <c r="J3" s="32"/>
      <c r="K3" s="32"/>
      <c r="L3" s="32"/>
      <c r="M3" s="32"/>
      <c r="N3" s="32"/>
      <c r="O3" s="84"/>
    </row>
    <row r="4" spans="2:16" ht="17.25" customHeight="1" thickBot="1">
      <c r="B4" s="33" t="s">
        <v>3</v>
      </c>
      <c r="C4" s="33"/>
      <c r="D4" s="33"/>
      <c r="E4" s="33"/>
      <c r="F4" s="33"/>
      <c r="G4" s="85"/>
      <c r="H4" s="33"/>
      <c r="I4" s="33"/>
      <c r="J4" s="33"/>
      <c r="K4" s="33"/>
      <c r="L4" s="33"/>
      <c r="M4" s="33"/>
      <c r="N4" s="33"/>
      <c r="O4" s="93" t="s">
        <v>60</v>
      </c>
    </row>
    <row r="5" spans="2:16" ht="18" customHeight="1" thickBot="1">
      <c r="B5" s="261" t="s">
        <v>5</v>
      </c>
      <c r="C5" s="262"/>
      <c r="D5" s="262"/>
      <c r="E5" s="262"/>
      <c r="F5" s="262"/>
      <c r="G5" s="263"/>
      <c r="H5" s="261" t="s">
        <v>6</v>
      </c>
      <c r="I5" s="262"/>
      <c r="J5" s="262"/>
      <c r="K5" s="262"/>
      <c r="L5" s="262"/>
      <c r="M5" s="262"/>
      <c r="N5" s="262"/>
      <c r="O5" s="263"/>
    </row>
    <row r="6" spans="2:16" ht="18" customHeight="1" thickBot="1">
      <c r="B6" s="264" t="s">
        <v>7</v>
      </c>
      <c r="C6" s="265"/>
      <c r="D6" s="265"/>
      <c r="E6" s="265"/>
      <c r="F6" s="266"/>
      <c r="G6" s="86" t="s">
        <v>8</v>
      </c>
      <c r="H6" s="264" t="s">
        <v>7</v>
      </c>
      <c r="I6" s="265"/>
      <c r="J6" s="265"/>
      <c r="K6" s="265"/>
      <c r="L6" s="265"/>
      <c r="M6" s="265"/>
      <c r="N6" s="266"/>
      <c r="O6" s="86" t="s">
        <v>8</v>
      </c>
    </row>
    <row r="7" spans="2:16" ht="18.75" customHeight="1">
      <c r="B7" s="25"/>
      <c r="C7" s="267" t="s">
        <v>9</v>
      </c>
      <c r="D7" s="267"/>
      <c r="E7" s="267"/>
      <c r="F7" s="76"/>
      <c r="G7" s="87">
        <f>ROUNDDOWN('BS（円）'!G7/1,0)</f>
        <v>48852958853</v>
      </c>
      <c r="H7" s="30"/>
      <c r="I7" s="267" t="s">
        <v>10</v>
      </c>
      <c r="J7" s="267"/>
      <c r="K7" s="267"/>
      <c r="L7" s="267"/>
      <c r="M7" s="267"/>
      <c r="N7" s="77"/>
      <c r="O7" s="91">
        <f>ROUNDDOWN('BS（円）'!O7/1,0)</f>
        <v>6462044613</v>
      </c>
      <c r="P7" s="126"/>
    </row>
    <row r="8" spans="2:16" ht="18.75" customHeight="1">
      <c r="B8" s="25"/>
      <c r="E8" s="45" t="s">
        <v>11</v>
      </c>
      <c r="F8" s="24"/>
      <c r="G8" s="88">
        <f>ROUNDDOWN('BS（円）'!G8/1,0)</f>
        <v>8666868080</v>
      </c>
      <c r="H8" s="31"/>
      <c r="I8" s="23"/>
      <c r="J8" s="23"/>
      <c r="K8" s="268" t="s">
        <v>12</v>
      </c>
      <c r="L8" s="268"/>
      <c r="M8" s="268"/>
      <c r="N8" s="28"/>
      <c r="O8" s="88">
        <f>ROUNDDOWN('BS（円）'!O8/1,0)</f>
        <v>2951118486</v>
      </c>
      <c r="P8" s="126"/>
    </row>
    <row r="9" spans="2:16" ht="18.75" customHeight="1">
      <c r="B9" s="25"/>
      <c r="E9" s="45" t="s">
        <v>13</v>
      </c>
      <c r="F9" s="24"/>
      <c r="G9" s="88">
        <f>ROUNDDOWN('BS（円）'!G9/1,0)</f>
        <v>25913063482</v>
      </c>
      <c r="H9" s="31"/>
      <c r="I9" s="23"/>
      <c r="J9" s="23"/>
      <c r="K9" s="268" t="s">
        <v>14</v>
      </c>
      <c r="L9" s="268"/>
      <c r="M9" s="268"/>
      <c r="N9" s="28"/>
      <c r="O9" s="88">
        <f>ROUNDDOWN('BS（円）'!O9/1,0)</f>
        <v>116000000</v>
      </c>
      <c r="P9" s="126"/>
    </row>
    <row r="10" spans="2:16" ht="18.75" customHeight="1">
      <c r="B10" s="25"/>
      <c r="E10" s="45" t="s">
        <v>61</v>
      </c>
      <c r="F10" s="24"/>
      <c r="G10" s="88">
        <f>ROUNDDOWN('BS（円）'!G10/1,0)</f>
        <v>8048215000</v>
      </c>
      <c r="H10" s="215"/>
      <c r="I10" s="216"/>
      <c r="J10" s="216"/>
      <c r="K10" s="269" t="s">
        <v>157</v>
      </c>
      <c r="L10" s="269"/>
      <c r="M10" s="269"/>
      <c r="N10" s="213"/>
      <c r="O10" s="88">
        <f>ROUNDDOWN('BS（円）'!O10/1,0)</f>
        <v>573964723</v>
      </c>
      <c r="P10" s="126"/>
    </row>
    <row r="11" spans="2:16" ht="18.75" customHeight="1">
      <c r="B11" s="25"/>
      <c r="E11" s="45" t="s">
        <v>17</v>
      </c>
      <c r="F11" s="24"/>
      <c r="G11" s="88">
        <f>ROUNDDOWN('BS（円）'!G11/1,0)</f>
        <v>6446800</v>
      </c>
      <c r="H11" s="31"/>
      <c r="I11" s="23"/>
      <c r="J11" s="23"/>
      <c r="K11" s="268" t="s">
        <v>18</v>
      </c>
      <c r="L11" s="268"/>
      <c r="M11" s="268"/>
      <c r="N11" s="28"/>
      <c r="O11" s="88">
        <f>ROUNDDOWN('BS（円）'!O11/1,0)</f>
        <v>111136041</v>
      </c>
      <c r="P11" s="125"/>
    </row>
    <row r="12" spans="2:16" ht="18.75" customHeight="1">
      <c r="B12" s="25"/>
      <c r="E12" s="45" t="s">
        <v>19</v>
      </c>
      <c r="F12" s="24"/>
      <c r="G12" s="88">
        <f>ROUNDDOWN('BS（円）'!G12/1,0)</f>
        <v>334387470</v>
      </c>
      <c r="H12" s="31"/>
      <c r="I12" s="23"/>
      <c r="J12" s="23"/>
      <c r="K12" s="268" t="s">
        <v>62</v>
      </c>
      <c r="L12" s="268"/>
      <c r="M12" s="268"/>
      <c r="N12" s="28"/>
      <c r="O12" s="88">
        <f>ROUNDDOWN('BS（円）'!O12/1,0)</f>
        <v>30737582</v>
      </c>
      <c r="P12" s="125"/>
    </row>
    <row r="13" spans="2:16" ht="18.75" customHeight="1">
      <c r="B13" s="25"/>
      <c r="E13" s="45" t="s">
        <v>21</v>
      </c>
      <c r="F13" s="24"/>
      <c r="G13" s="88">
        <f>ROUNDDOWN('BS（円）'!G13/1,0)</f>
        <v>5069796261</v>
      </c>
      <c r="H13" s="31"/>
      <c r="I13" s="23"/>
      <c r="J13" s="23"/>
      <c r="K13" s="268" t="s">
        <v>63</v>
      </c>
      <c r="L13" s="268"/>
      <c r="M13" s="268"/>
      <c r="N13" s="28"/>
      <c r="O13" s="88">
        <f>ROUNDDOWN('BS（円）'!O13/1,0)</f>
        <v>1735158800</v>
      </c>
      <c r="P13" s="125"/>
    </row>
    <row r="14" spans="2:16" ht="18.75" customHeight="1">
      <c r="B14" s="25"/>
      <c r="E14" s="45" t="s">
        <v>23</v>
      </c>
      <c r="F14" s="24"/>
      <c r="G14" s="88">
        <f>ROUNDDOWN('BS（円）'!G14/1,0)</f>
        <v>63786053</v>
      </c>
      <c r="H14" s="31"/>
      <c r="I14" s="23"/>
      <c r="J14" s="23"/>
      <c r="K14" s="268" t="s">
        <v>24</v>
      </c>
      <c r="L14" s="268"/>
      <c r="M14" s="268"/>
      <c r="N14" s="28"/>
      <c r="O14" s="88">
        <f>ROUNDDOWN('BS（円）'!O14/1,0)</f>
        <v>215534100</v>
      </c>
      <c r="P14" s="125"/>
    </row>
    <row r="15" spans="2:16" ht="18.75" customHeight="1">
      <c r="B15" s="25"/>
      <c r="E15" s="45" t="s">
        <v>25</v>
      </c>
      <c r="F15" s="24"/>
      <c r="G15" s="88">
        <f>ROUNDDOWN('BS（円）'!G16/1,0)</f>
        <v>27277180</v>
      </c>
      <c r="H15" s="31"/>
      <c r="I15" s="23"/>
      <c r="J15" s="23"/>
      <c r="K15" s="268" t="s">
        <v>26</v>
      </c>
      <c r="L15" s="268"/>
      <c r="M15" s="268"/>
      <c r="N15" s="28"/>
      <c r="O15" s="88">
        <f>ROUNDDOWN('BS（円）'!O15/1,0)</f>
        <v>340729120</v>
      </c>
      <c r="P15" s="125"/>
    </row>
    <row r="16" spans="2:16" ht="18.75" customHeight="1">
      <c r="B16" s="25"/>
      <c r="E16" s="45" t="s">
        <v>27</v>
      </c>
      <c r="F16" s="24"/>
      <c r="G16" s="88">
        <f>ROUNDDOWN('BS（円）'!G17/1,0)</f>
        <v>57329760</v>
      </c>
      <c r="H16" s="31"/>
      <c r="I16" s="23"/>
      <c r="J16" s="23"/>
      <c r="K16" s="268" t="s">
        <v>64</v>
      </c>
      <c r="L16" s="268"/>
      <c r="M16" s="268"/>
      <c r="N16" s="28"/>
      <c r="O16" s="88">
        <f>ROUNDDOWN('BS（円）'!O16/1,0)</f>
        <v>13081845</v>
      </c>
      <c r="P16" s="125"/>
    </row>
    <row r="17" spans="2:16" ht="18.75" customHeight="1">
      <c r="B17" s="25"/>
      <c r="E17" s="45" t="s">
        <v>65</v>
      </c>
      <c r="F17" s="24"/>
      <c r="G17" s="88">
        <f>ROUNDDOWN(SUM('BS（円）'!G15)/1,0)</f>
        <v>227329</v>
      </c>
      <c r="H17" s="137"/>
      <c r="I17" s="23"/>
      <c r="J17" s="23"/>
      <c r="K17" s="268" t="s">
        <v>28</v>
      </c>
      <c r="L17" s="268"/>
      <c r="M17" s="268"/>
      <c r="N17" s="28"/>
      <c r="O17" s="88">
        <f>ROUNDDOWN('BS（円）'!O17/1,0)</f>
        <v>105000</v>
      </c>
      <c r="P17" s="125"/>
    </row>
    <row r="18" spans="2:16" ht="18.75" customHeight="1">
      <c r="B18" s="25"/>
      <c r="E18" s="45" t="s">
        <v>66</v>
      </c>
      <c r="F18" s="24"/>
      <c r="G18" s="88">
        <f>ROUNDDOWN(SUM('BS（円）'!G18)/1,0)</f>
        <v>20478991</v>
      </c>
      <c r="H18" s="123"/>
      <c r="I18" s="29"/>
      <c r="J18" s="23"/>
      <c r="K18" s="268" t="s">
        <v>67</v>
      </c>
      <c r="L18" s="268"/>
      <c r="M18" s="268"/>
      <c r="N18" s="28"/>
      <c r="O18" s="90">
        <f>ROUNDDOWN('BS（円）'!O18/1,0)</f>
        <v>60699108</v>
      </c>
      <c r="P18" s="125"/>
    </row>
    <row r="19" spans="2:16" ht="18.75" customHeight="1">
      <c r="B19" s="25"/>
      <c r="E19" s="45" t="s">
        <v>68</v>
      </c>
      <c r="F19" s="24"/>
      <c r="G19" s="88">
        <f>ROUNDDOWN(SUM('BS（円）'!G19)/1,0)</f>
        <v>5279970</v>
      </c>
      <c r="H19" s="123"/>
      <c r="I19" s="29"/>
      <c r="J19" s="23"/>
      <c r="K19" s="268" t="s">
        <v>69</v>
      </c>
      <c r="L19" s="268"/>
      <c r="M19" s="268"/>
      <c r="N19" s="122"/>
      <c r="O19" s="90">
        <f>ROUNDDOWN('BS（円）'!O19/1,0)</f>
        <v>313779808</v>
      </c>
      <c r="P19" s="125"/>
    </row>
    <row r="20" spans="2:16" ht="18.75" customHeight="1">
      <c r="B20" s="25"/>
      <c r="E20" s="45" t="s">
        <v>70</v>
      </c>
      <c r="F20" s="24"/>
      <c r="G20" s="88">
        <f>ROUNDDOWN(SUM('BS（円）'!G20)/1,0)</f>
        <v>639802477</v>
      </c>
      <c r="H20" s="123"/>
      <c r="I20" s="29"/>
      <c r="J20" s="23"/>
      <c r="K20" s="268"/>
      <c r="L20" s="268"/>
      <c r="M20" s="268"/>
      <c r="N20" s="122"/>
      <c r="O20" s="90"/>
      <c r="P20" s="125"/>
    </row>
    <row r="21" spans="2:16" ht="18.75" hidden="1" customHeight="1">
      <c r="B21" s="25"/>
      <c r="E21" s="45"/>
      <c r="F21" s="24"/>
      <c r="G21" s="88"/>
      <c r="H21" s="123"/>
      <c r="I21" s="29"/>
      <c r="J21" s="23"/>
      <c r="K21" s="268"/>
      <c r="L21" s="268"/>
      <c r="M21" s="268"/>
      <c r="N21" s="122"/>
      <c r="O21" s="90"/>
      <c r="P21" s="125"/>
    </row>
    <row r="22" spans="2:16" ht="18.75" customHeight="1">
      <c r="B22" s="25"/>
      <c r="C22" s="267" t="s">
        <v>30</v>
      </c>
      <c r="D22" s="267"/>
      <c r="E22" s="267"/>
      <c r="F22" s="76"/>
      <c r="G22" s="87">
        <f>ROUNDDOWN('BS（円）'!G22/1,0)</f>
        <v>16955493415</v>
      </c>
      <c r="H22" s="124"/>
      <c r="I22" s="267" t="s">
        <v>31</v>
      </c>
      <c r="J22" s="267"/>
      <c r="K22" s="267"/>
      <c r="L22" s="267"/>
      <c r="M22" s="267"/>
      <c r="N22" s="124"/>
      <c r="O22" s="91">
        <f>ROUNDDOWN('BS（円）'!O22/1,0)</f>
        <v>45367479392</v>
      </c>
      <c r="P22" s="126"/>
    </row>
    <row r="23" spans="2:16" ht="18.75" customHeight="1">
      <c r="B23" s="25"/>
      <c r="C23" s="26"/>
      <c r="D23" s="267" t="s">
        <v>32</v>
      </c>
      <c r="E23" s="267"/>
      <c r="F23" s="76"/>
      <c r="G23" s="89">
        <f>ROUNDDOWN('BS（円）'!G23/1,0)</f>
        <v>16638722122</v>
      </c>
      <c r="H23" s="124"/>
      <c r="I23" s="124"/>
      <c r="J23" s="124"/>
      <c r="K23" s="268" t="s">
        <v>33</v>
      </c>
      <c r="L23" s="268"/>
      <c r="M23" s="268"/>
      <c r="N23" s="122"/>
      <c r="O23" s="88">
        <f>ROUNDDOWN('BS（円）'!O23/1,0)</f>
        <v>44537479392</v>
      </c>
      <c r="P23" s="126"/>
    </row>
    <row r="24" spans="2:16" ht="18.75" customHeight="1">
      <c r="B24" s="25"/>
      <c r="E24" s="45" t="s">
        <v>34</v>
      </c>
      <c r="F24" s="24"/>
      <c r="G24" s="90">
        <f>ROUNDDOWN('BS（円）'!G24/1,0)</f>
        <v>3718243907</v>
      </c>
      <c r="H24" s="124"/>
      <c r="I24" s="124"/>
      <c r="J24" s="124"/>
      <c r="K24" s="268" t="s">
        <v>35</v>
      </c>
      <c r="L24" s="268"/>
      <c r="M24" s="268"/>
      <c r="N24" s="122"/>
      <c r="O24" s="88">
        <f>ROUNDDOWN('BS（円）'!O24/1,0)</f>
        <v>830000000</v>
      </c>
      <c r="P24" s="126"/>
    </row>
    <row r="25" spans="2:16" ht="18.75" customHeight="1" thickBot="1">
      <c r="B25" s="25"/>
      <c r="E25" s="45" t="s">
        <v>36</v>
      </c>
      <c r="F25" s="24"/>
      <c r="G25" s="90">
        <f>ROUNDDOWN('BS（円）'!G25/1,0)</f>
        <v>1927012939</v>
      </c>
      <c r="H25" s="276" t="s">
        <v>37</v>
      </c>
      <c r="I25" s="277"/>
      <c r="J25" s="277"/>
      <c r="K25" s="277"/>
      <c r="L25" s="277"/>
      <c r="M25" s="277"/>
      <c r="N25" s="121"/>
      <c r="O25" s="95">
        <f>ROUNDDOWN('BS（円）'!O31/1,0)</f>
        <v>51829524005</v>
      </c>
      <c r="P25" s="127"/>
    </row>
    <row r="26" spans="2:16" ht="18.75" customHeight="1" thickBot="1">
      <c r="B26" s="25"/>
      <c r="E26" s="45" t="s">
        <v>38</v>
      </c>
      <c r="F26" s="24"/>
      <c r="G26" s="90">
        <f>ROUNDDOWN('BS（円）'!G26/1,0)</f>
        <v>9668261</v>
      </c>
      <c r="H26" s="261" t="s">
        <v>39</v>
      </c>
      <c r="I26" s="262"/>
      <c r="J26" s="262"/>
      <c r="K26" s="262"/>
      <c r="L26" s="262"/>
      <c r="M26" s="262"/>
      <c r="N26" s="262"/>
      <c r="O26" s="263"/>
    </row>
    <row r="27" spans="2:16" ht="18.75" customHeight="1">
      <c r="B27" s="25"/>
      <c r="E27" s="45" t="s">
        <v>40</v>
      </c>
      <c r="F27" s="24"/>
      <c r="G27" s="90">
        <f>ROUNDDOWN('BS（円）'!G27/1,0)</f>
        <v>8671873</v>
      </c>
      <c r="H27" s="78"/>
      <c r="I27" s="267" t="s">
        <v>41</v>
      </c>
      <c r="J27" s="267"/>
      <c r="K27" s="267"/>
      <c r="L27" s="267"/>
      <c r="M27" s="267"/>
      <c r="N27" s="79"/>
      <c r="O27" s="91">
        <f>SUM(O28,O29)</f>
        <v>13978928263</v>
      </c>
    </row>
    <row r="28" spans="2:16" ht="18.75" customHeight="1">
      <c r="B28" s="214"/>
      <c r="C28" s="211"/>
      <c r="D28" s="8"/>
      <c r="E28" s="212" t="s">
        <v>158</v>
      </c>
      <c r="F28" s="213"/>
      <c r="G28" s="90">
        <f>ROUNDDOWN(('BS（円）'!G28+'BS（円）'!G29)/1,0)</f>
        <v>31985679</v>
      </c>
      <c r="H28" s="78"/>
      <c r="I28" s="29"/>
      <c r="J28" s="29"/>
      <c r="K28" s="267" t="s">
        <v>43</v>
      </c>
      <c r="L28" s="267"/>
      <c r="M28" s="267"/>
      <c r="N28" s="79"/>
      <c r="O28" s="91">
        <f>ROUNDDOWN('BS（円）'!O34/1,0)</f>
        <v>99000000</v>
      </c>
    </row>
    <row r="29" spans="2:16" ht="18.75" customHeight="1">
      <c r="B29" s="25"/>
      <c r="E29" s="45" t="s">
        <v>44</v>
      </c>
      <c r="F29" s="24"/>
      <c r="G29" s="90">
        <f>ROUNDDOWN('BS（円）'!G30/1,0)</f>
        <v>10943139463</v>
      </c>
      <c r="H29" s="78"/>
      <c r="I29" s="29"/>
      <c r="J29" s="29"/>
      <c r="K29" s="267" t="s">
        <v>45</v>
      </c>
      <c r="L29" s="267"/>
      <c r="M29" s="267"/>
      <c r="N29" s="79"/>
      <c r="O29" s="91">
        <f>O30+O31</f>
        <v>13879928263</v>
      </c>
    </row>
    <row r="30" spans="2:16" ht="18.75" customHeight="1">
      <c r="B30" s="25"/>
      <c r="C30" s="26"/>
      <c r="D30" s="267" t="s">
        <v>47</v>
      </c>
      <c r="E30" s="267"/>
      <c r="F30" s="76"/>
      <c r="G30" s="91">
        <f>ROUNDDOWN('BS（円）'!G32/1,0)</f>
        <v>8136563</v>
      </c>
      <c r="H30" s="78"/>
      <c r="I30" s="81"/>
      <c r="J30" s="81"/>
      <c r="L30" s="268" t="s">
        <v>46</v>
      </c>
      <c r="M30" s="268"/>
      <c r="N30" s="80"/>
      <c r="O30" s="94">
        <f>ROUNDDOWN('BS（円）'!O36/1,0)</f>
        <v>24750000</v>
      </c>
    </row>
    <row r="31" spans="2:16" ht="18.75" customHeight="1">
      <c r="B31" s="27"/>
      <c r="E31" s="45" t="s">
        <v>49</v>
      </c>
      <c r="F31" s="24"/>
      <c r="G31" s="90">
        <f>ROUNDDOWN('BS（円）'!G34/1,0)</f>
        <v>8101563</v>
      </c>
      <c r="H31" s="78"/>
      <c r="I31" s="81"/>
      <c r="J31" s="81"/>
      <c r="L31" s="268" t="s">
        <v>48</v>
      </c>
      <c r="M31" s="268"/>
      <c r="N31" s="45"/>
      <c r="O31" s="88">
        <f>ROUNDDOWN('BS（円）'!O37/1,0)</f>
        <v>13855178263</v>
      </c>
    </row>
    <row r="32" spans="2:16" ht="18.75" customHeight="1">
      <c r="B32" s="27"/>
      <c r="E32" s="45" t="s">
        <v>51</v>
      </c>
      <c r="F32" s="24"/>
      <c r="G32" s="90">
        <f>ROUNDDOWN('BS（円）'!G33/1,0)</f>
        <v>35000</v>
      </c>
      <c r="H32" s="78"/>
      <c r="I32" s="81"/>
      <c r="J32" s="81"/>
      <c r="K32" s="23"/>
      <c r="M32" s="45" t="s">
        <v>50</v>
      </c>
      <c r="N32" s="45"/>
      <c r="O32" s="88">
        <f>ROUNDDOWN('BS（円）'!O38/1,0)</f>
        <v>13855178263</v>
      </c>
    </row>
    <row r="33" spans="2:15" ht="18.75" customHeight="1">
      <c r="B33" s="25"/>
      <c r="C33" s="26"/>
      <c r="D33" s="267" t="s">
        <v>52</v>
      </c>
      <c r="E33" s="267"/>
      <c r="F33" s="76"/>
      <c r="G33" s="91">
        <f>ROUNDDOWN('BS（円）'!G35/1,0)</f>
        <v>308634730</v>
      </c>
      <c r="H33" s="1"/>
      <c r="I33" s="1"/>
      <c r="O33" s="130"/>
    </row>
    <row r="34" spans="2:15" ht="18.75" customHeight="1">
      <c r="B34" s="25"/>
      <c r="C34" s="26"/>
      <c r="D34" s="81"/>
      <c r="E34" s="45" t="s">
        <v>53</v>
      </c>
      <c r="F34" s="76"/>
      <c r="G34" s="88">
        <f>ROUNDDOWN('BS（円）'!G36/1,0)</f>
        <v>150570700</v>
      </c>
      <c r="H34" s="1"/>
      <c r="I34" s="1"/>
      <c r="O34" s="130"/>
    </row>
    <row r="35" spans="2:15" ht="18.75" customHeight="1">
      <c r="B35" s="25"/>
      <c r="E35" s="45" t="s">
        <v>54</v>
      </c>
      <c r="F35" s="24"/>
      <c r="G35" s="88">
        <f>ROUNDDOWN('BS（円）'!G37/1,0)</f>
        <v>20370000</v>
      </c>
      <c r="H35" s="1"/>
      <c r="I35" s="1"/>
      <c r="O35" s="130"/>
    </row>
    <row r="36" spans="2:15" ht="18.75" customHeight="1">
      <c r="B36" s="25"/>
      <c r="E36" s="45" t="s">
        <v>55</v>
      </c>
      <c r="F36" s="24"/>
      <c r="G36" s="88">
        <f>ROUNDDOWN('BS（円）'!G38/1,0)</f>
        <v>80517670</v>
      </c>
      <c r="H36" s="1"/>
      <c r="I36" s="1"/>
      <c r="O36" s="130"/>
    </row>
    <row r="37" spans="2:15" ht="18.75" customHeight="1">
      <c r="B37" s="25"/>
      <c r="E37" s="45" t="s">
        <v>56</v>
      </c>
      <c r="F37" s="24"/>
      <c r="G37" s="88">
        <f>ROUNDDOWN('BS（円）'!G39/1,0)</f>
        <v>42626360</v>
      </c>
      <c r="H37" s="1"/>
      <c r="I37" s="1"/>
      <c r="O37" s="130"/>
    </row>
    <row r="38" spans="2:15" ht="18.75" customHeight="1">
      <c r="B38" s="25"/>
      <c r="E38" s="45" t="s">
        <v>71</v>
      </c>
      <c r="F38" s="24"/>
      <c r="G38" s="88">
        <f>ROUNDDOWN('BS（円）'!G40/1,0)</f>
        <v>14550000</v>
      </c>
      <c r="H38" s="270" t="s">
        <v>57</v>
      </c>
      <c r="I38" s="271"/>
      <c r="J38" s="271"/>
      <c r="K38" s="271"/>
      <c r="L38" s="271"/>
      <c r="M38" s="271"/>
      <c r="N38" s="272"/>
      <c r="O38" s="95">
        <f>ROUNDDOWN('BS（円）'!O40/1,0)</f>
        <v>13978928263</v>
      </c>
    </row>
    <row r="39" spans="2:15" ht="18.75" customHeight="1" thickBot="1">
      <c r="B39" s="273" t="s">
        <v>58</v>
      </c>
      <c r="C39" s="274"/>
      <c r="D39" s="274"/>
      <c r="E39" s="274"/>
      <c r="F39" s="275"/>
      <c r="G39" s="92">
        <f>ROUNDDOWN('BS（円）'!G41/1,0)</f>
        <v>65808452268</v>
      </c>
      <c r="H39" s="273" t="s">
        <v>59</v>
      </c>
      <c r="I39" s="274"/>
      <c r="J39" s="274"/>
      <c r="K39" s="274"/>
      <c r="L39" s="274"/>
      <c r="M39" s="274"/>
      <c r="N39" s="275"/>
      <c r="O39" s="92">
        <f>ROUNDDOWN('BS（円）'!O41/1,0)</f>
        <v>65808452268</v>
      </c>
    </row>
    <row r="40" spans="2:15" ht="18.75" customHeight="1">
      <c r="H40" s="23"/>
      <c r="I40" s="23"/>
    </row>
    <row r="41" spans="2:15" ht="18.75" customHeight="1">
      <c r="I41" s="23"/>
    </row>
    <row r="42" spans="2:15" ht="18.75" customHeight="1"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>
      <c r="I51" s="23"/>
    </row>
    <row r="52" spans="9:9" ht="18.75" customHeight="1">
      <c r="I52" s="23"/>
    </row>
    <row r="53" spans="9:9" ht="18.75" customHeight="1">
      <c r="I53" s="23"/>
    </row>
    <row r="54" spans="9:9" ht="18.75" customHeight="1">
      <c r="I54" s="23"/>
    </row>
    <row r="55" spans="9:9" ht="18.75" customHeight="1" collapsed="1"/>
    <row r="56" spans="9:9" ht="36" customHeight="1"/>
    <row r="57" spans="9:9" ht="36" customHeight="1"/>
    <row r="58" spans="9:9" ht="35.25" customHeight="1"/>
    <row r="59" spans="9:9" ht="18.75" customHeight="1"/>
  </sheetData>
  <mergeCells count="37">
    <mergeCell ref="H38:N38"/>
    <mergeCell ref="B39:F39"/>
    <mergeCell ref="H39:N39"/>
    <mergeCell ref="K19:M19"/>
    <mergeCell ref="K20:M20"/>
    <mergeCell ref="K21:M21"/>
    <mergeCell ref="K28:M28"/>
    <mergeCell ref="K29:M29"/>
    <mergeCell ref="L30:M30"/>
    <mergeCell ref="D30:E30"/>
    <mergeCell ref="L31:M31"/>
    <mergeCell ref="D33:E33"/>
    <mergeCell ref="D23:E23"/>
    <mergeCell ref="K23:M23"/>
    <mergeCell ref="K24:M24"/>
    <mergeCell ref="H25:M25"/>
    <mergeCell ref="H26:O26"/>
    <mergeCell ref="I27:M27"/>
    <mergeCell ref="K14:M14"/>
    <mergeCell ref="K15:M15"/>
    <mergeCell ref="K16:M16"/>
    <mergeCell ref="K18:M18"/>
    <mergeCell ref="K17:M17"/>
    <mergeCell ref="C22:E22"/>
    <mergeCell ref="I22:M22"/>
    <mergeCell ref="K8:M8"/>
    <mergeCell ref="K9:M9"/>
    <mergeCell ref="K10:M10"/>
    <mergeCell ref="K11:M11"/>
    <mergeCell ref="K12:M12"/>
    <mergeCell ref="K13:M13"/>
    <mergeCell ref="B5:G5"/>
    <mergeCell ref="H5:O5"/>
    <mergeCell ref="B6:F6"/>
    <mergeCell ref="H6:N6"/>
    <mergeCell ref="C7:E7"/>
    <mergeCell ref="I7:M7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3" orientation="portrait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C42E-29B6-402E-B958-4087DA9F2400}">
  <sheetPr>
    <tabColor theme="9" tint="0.79998168889431442"/>
    <pageSetUpPr fitToPage="1"/>
  </sheetPr>
  <dimension ref="B1:J33"/>
  <sheetViews>
    <sheetView showGridLines="0" view="pageBreakPreview" zoomScaleNormal="120" zoomScaleSheetLayoutView="100" workbookViewId="0">
      <pane ySplit="5" topLeftCell="A6" activePane="bottomLeft" state="frozen"/>
      <selection activeCell="G11" sqref="G11"/>
      <selection pane="bottomLeft" activeCell="D30" sqref="D30:E30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0" ht="21" customHeight="1"/>
    <row r="2" spans="2:10" s="7" customFormat="1" ht="21">
      <c r="B2" s="2" t="s">
        <v>87</v>
      </c>
      <c r="C2" s="5"/>
      <c r="D2" s="5"/>
      <c r="E2" s="5"/>
      <c r="F2" s="5"/>
      <c r="G2" s="97"/>
      <c r="H2" s="97"/>
    </row>
    <row r="3" spans="2:10" s="7" customFormat="1" ht="17.25" customHeight="1">
      <c r="B3" s="8" t="str">
        <f>'PL（千円）'!B3</f>
        <v>(自 令和７年１月１日　至 令和７年12月31日)</v>
      </c>
      <c r="C3" s="5"/>
      <c r="D3" s="5"/>
      <c r="E3" s="5"/>
      <c r="F3" s="5"/>
      <c r="G3" s="97"/>
      <c r="H3" s="97"/>
    </row>
    <row r="4" spans="2:10" ht="17.25" customHeight="1">
      <c r="B4" s="34" t="s">
        <v>3</v>
      </c>
      <c r="C4" s="12"/>
      <c r="D4" s="12"/>
      <c r="E4" s="12"/>
      <c r="F4" s="12"/>
      <c r="G4" s="98"/>
      <c r="H4" s="99" t="s">
        <v>88</v>
      </c>
    </row>
    <row r="5" spans="2:10" s="12" customFormat="1" ht="24.6" customHeight="1">
      <c r="B5" s="233" t="s">
        <v>7</v>
      </c>
      <c r="C5" s="223"/>
      <c r="D5" s="223"/>
      <c r="E5" s="223"/>
      <c r="F5" s="224"/>
      <c r="G5" s="234" t="s">
        <v>8</v>
      </c>
      <c r="H5" s="235"/>
    </row>
    <row r="6" spans="2:10" s="12" customFormat="1" ht="24.75" customHeight="1">
      <c r="B6" s="16"/>
      <c r="C6" s="221" t="s">
        <v>89</v>
      </c>
      <c r="D6" s="221"/>
      <c r="E6" s="221"/>
      <c r="G6" s="100"/>
      <c r="H6" s="101">
        <f>ROUNDDOWN('PL（円）'!H6/1,0)</f>
        <v>40055628529</v>
      </c>
      <c r="J6" s="13"/>
    </row>
    <row r="7" spans="2:10" s="12" customFormat="1" ht="24.75" customHeight="1">
      <c r="B7" s="16"/>
      <c r="C7" s="221" t="s">
        <v>90</v>
      </c>
      <c r="D7" s="221"/>
      <c r="E7" s="221"/>
      <c r="G7" s="100"/>
      <c r="H7" s="101"/>
    </row>
    <row r="8" spans="2:10" s="12" customFormat="1" ht="24.75" customHeight="1">
      <c r="B8" s="16"/>
      <c r="C8" s="46"/>
      <c r="D8" s="217" t="s">
        <v>91</v>
      </c>
      <c r="E8" s="217"/>
      <c r="G8" s="103">
        <f>ROUNDDOWN('PL（円）'!G8/1,0)</f>
        <v>21923271769</v>
      </c>
      <c r="H8" s="101"/>
    </row>
    <row r="9" spans="2:10" s="12" customFormat="1" ht="24.75" customHeight="1">
      <c r="B9" s="16"/>
      <c r="C9" s="46"/>
      <c r="D9" s="217" t="s">
        <v>92</v>
      </c>
      <c r="E9" s="217"/>
      <c r="G9" s="103">
        <f>ROUNDDOWN('PL（円）'!G9/1,0)</f>
        <v>34917470820</v>
      </c>
      <c r="H9" s="101"/>
    </row>
    <row r="10" spans="2:10" s="12" customFormat="1" ht="24.75" customHeight="1">
      <c r="B10" s="16"/>
      <c r="C10" s="46"/>
      <c r="D10" s="217" t="s">
        <v>93</v>
      </c>
      <c r="E10" s="217"/>
      <c r="G10" s="104">
        <f>ROUNDDOWN('PL（円）'!G10/1,0)</f>
        <v>56840742589</v>
      </c>
      <c r="H10" s="101"/>
    </row>
    <row r="11" spans="2:10" s="12" customFormat="1" ht="24.75" customHeight="1">
      <c r="B11" s="16"/>
      <c r="C11" s="46"/>
      <c r="D11" s="217" t="s">
        <v>94</v>
      </c>
      <c r="E11" s="217"/>
      <c r="G11" s="105">
        <f>ROUNDDOWN('PL（円）'!G11/1,0)</f>
        <v>755356361</v>
      </c>
      <c r="H11" s="101"/>
    </row>
    <row r="12" spans="2:10" s="12" customFormat="1" ht="24.75" customHeight="1">
      <c r="B12" s="16"/>
      <c r="C12" s="46"/>
      <c r="D12" s="217" t="s">
        <v>95</v>
      </c>
      <c r="E12" s="217"/>
      <c r="G12" s="128">
        <f>ROUNDDOWN('PL（円）'!G12/1,0)</f>
        <v>25913063482</v>
      </c>
      <c r="H12" s="102">
        <f>ROUNDDOWN('PL（円）'!H12/1,0)</f>
        <v>30172322746</v>
      </c>
    </row>
    <row r="13" spans="2:10" s="12" customFormat="1" ht="24.75" customHeight="1">
      <c r="B13" s="16"/>
      <c r="D13" s="221" t="s">
        <v>96</v>
      </c>
      <c r="E13" s="221"/>
      <c r="G13" s="100"/>
      <c r="H13" s="101">
        <f>ROUNDDOWN('PL（円）'!H13/1,0)</f>
        <v>9883305783</v>
      </c>
    </row>
    <row r="14" spans="2:10" s="12" customFormat="1" ht="24.75" customHeight="1">
      <c r="B14" s="16"/>
      <c r="C14" s="221" t="s">
        <v>97</v>
      </c>
      <c r="D14" s="221"/>
      <c r="E14" s="221"/>
      <c r="G14" s="100"/>
      <c r="H14" s="102">
        <f>ROUNDDOWN('PL（円）'!H14/1,0)</f>
        <v>4125941769</v>
      </c>
    </row>
    <row r="15" spans="2:10" s="12" customFormat="1" ht="24.75" customHeight="1">
      <c r="B15" s="16"/>
      <c r="C15" s="46"/>
      <c r="D15" s="221" t="s">
        <v>98</v>
      </c>
      <c r="E15" s="221"/>
      <c r="G15" s="100"/>
      <c r="H15" s="101">
        <f>ROUNDDOWN('PL（円）'!H15/1,0)</f>
        <v>5757364014</v>
      </c>
      <c r="J15" s="13"/>
    </row>
    <row r="16" spans="2:10" s="12" customFormat="1" ht="24.75" customHeight="1">
      <c r="B16" s="16"/>
      <c r="C16" s="221" t="s">
        <v>99</v>
      </c>
      <c r="D16" s="221"/>
      <c r="E16" s="221"/>
      <c r="G16" s="100"/>
      <c r="H16" s="101"/>
    </row>
    <row r="17" spans="2:10" s="12" customFormat="1" ht="24.75" customHeight="1">
      <c r="B17" s="16"/>
      <c r="D17" s="217" t="s">
        <v>100</v>
      </c>
      <c r="E17" s="217"/>
      <c r="F17" s="14"/>
      <c r="G17" s="103">
        <f>ROUNDDOWN('PL（円）'!G17/1,0)</f>
        <v>12205025</v>
      </c>
      <c r="H17" s="101"/>
    </row>
    <row r="18" spans="2:10" s="12" customFormat="1" ht="24.75" customHeight="1">
      <c r="B18" s="16"/>
      <c r="D18" s="217" t="s">
        <v>101</v>
      </c>
      <c r="E18" s="217"/>
      <c r="F18" s="14"/>
      <c r="G18" s="103">
        <f>ROUNDDOWN('PL（円）'!G18/1,0)</f>
        <v>295342</v>
      </c>
      <c r="H18" s="101"/>
    </row>
    <row r="19" spans="2:10" s="12" customFormat="1" ht="24.75" customHeight="1">
      <c r="B19" s="16"/>
      <c r="D19" s="217" t="s">
        <v>102</v>
      </c>
      <c r="E19" s="217"/>
      <c r="F19" s="14"/>
      <c r="G19" s="128">
        <f>ROUNDDOWN('PL（円）'!G19/1,0)</f>
        <v>35202381</v>
      </c>
      <c r="H19" s="101">
        <f>ROUNDDOWN('PL（円）'!H19/1,0)</f>
        <v>47702748</v>
      </c>
    </row>
    <row r="20" spans="2:10" s="12" customFormat="1" ht="24.75" customHeight="1">
      <c r="B20" s="16"/>
      <c r="C20" s="221" t="s">
        <v>103</v>
      </c>
      <c r="D20" s="221"/>
      <c r="E20" s="221"/>
      <c r="G20" s="101"/>
      <c r="H20" s="101"/>
    </row>
    <row r="21" spans="2:10" s="12" customFormat="1" ht="24.75" customHeight="1">
      <c r="B21" s="16"/>
      <c r="D21" s="217" t="s">
        <v>104</v>
      </c>
      <c r="E21" s="217"/>
      <c r="F21" s="14"/>
      <c r="G21" s="128">
        <f>ROUNDDOWN('PL（円）'!G21/1,0)</f>
        <v>777443792</v>
      </c>
      <c r="H21" s="102">
        <f>ROUNDDOWN('PL（円）'!H21/1,0)</f>
        <v>777443792</v>
      </c>
      <c r="I21" s="15"/>
    </row>
    <row r="22" spans="2:10" s="12" customFormat="1" ht="24.75" customHeight="1">
      <c r="B22" s="16"/>
      <c r="C22" s="46"/>
      <c r="D22" s="221" t="s">
        <v>105</v>
      </c>
      <c r="E22" s="221"/>
      <c r="G22" s="100"/>
      <c r="H22" s="101">
        <f>ROUNDDOWN('PL（円）'!H22/1,0)</f>
        <v>5027622970</v>
      </c>
      <c r="J22" s="13"/>
    </row>
    <row r="23" spans="2:10" s="12" customFormat="1" ht="24.75" hidden="1" customHeight="1">
      <c r="B23" s="16"/>
      <c r="C23" s="221" t="s">
        <v>106</v>
      </c>
      <c r="D23" s="221"/>
      <c r="E23" s="221"/>
      <c r="G23" s="100"/>
      <c r="H23" s="101"/>
    </row>
    <row r="24" spans="2:10" s="12" customFormat="1" ht="24.75" hidden="1" customHeight="1">
      <c r="B24" s="16"/>
      <c r="C24" s="46"/>
      <c r="D24" s="217" t="s">
        <v>107</v>
      </c>
      <c r="E24" s="217"/>
      <c r="G24" s="128" t="e">
        <f>ROUNDDOWN('PL（円）'!#REF!/1,0)</f>
        <v>#REF!</v>
      </c>
      <c r="H24" s="101" t="e">
        <f>ROUNDDOWN('PL（円）'!#REF!/1,0)</f>
        <v>#REF!</v>
      </c>
    </row>
    <row r="25" spans="2:10" s="12" customFormat="1" ht="24.75" customHeight="1">
      <c r="B25" s="16"/>
      <c r="C25" s="221" t="s">
        <v>108</v>
      </c>
      <c r="D25" s="221"/>
      <c r="E25" s="221"/>
      <c r="G25" s="100"/>
      <c r="H25" s="101"/>
    </row>
    <row r="26" spans="2:10" s="12" customFormat="1" ht="24.75" customHeight="1">
      <c r="B26" s="16"/>
      <c r="C26" s="46"/>
      <c r="D26" s="217" t="s">
        <v>113</v>
      </c>
      <c r="E26" s="217"/>
      <c r="G26" s="128">
        <f>ROUNDDOWN('PL（円）'!G24/1,0)</f>
        <v>29310596</v>
      </c>
      <c r="H26" s="101">
        <f>ROUNDDOWN('PL（円）'!H24/1,0)</f>
        <v>29310596</v>
      </c>
    </row>
    <row r="27" spans="2:10" s="12" customFormat="1" ht="24.75" customHeight="1">
      <c r="B27" s="16"/>
      <c r="C27" s="46"/>
      <c r="D27" s="221" t="s">
        <v>109</v>
      </c>
      <c r="E27" s="221"/>
      <c r="G27" s="101"/>
      <c r="H27" s="106">
        <f>ROUNDDOWN('PL（円）'!H25/1,0)</f>
        <v>4998312374</v>
      </c>
    </row>
    <row r="28" spans="2:10" s="12" customFormat="1" ht="24.75" customHeight="1">
      <c r="B28" s="17" t="s">
        <v>110</v>
      </c>
      <c r="C28" s="113"/>
      <c r="D28" s="217" t="s">
        <v>110</v>
      </c>
      <c r="E28" s="217"/>
      <c r="G28" s="105"/>
      <c r="H28" s="105">
        <f>ROUNDDOWN('PL（円）'!G26/1,0)</f>
        <v>1747587084</v>
      </c>
    </row>
    <row r="29" spans="2:10" s="12" customFormat="1" ht="24.75" hidden="1" customHeight="1">
      <c r="B29" s="17" t="s">
        <v>110</v>
      </c>
      <c r="C29" s="113"/>
      <c r="D29" s="217" t="s">
        <v>111</v>
      </c>
      <c r="E29" s="217"/>
      <c r="G29" s="120">
        <f>ROUNDDOWN('PL（円）'!G27/1,0)</f>
        <v>0</v>
      </c>
      <c r="H29" s="105">
        <f>ROUNDDOWN('PL（円）'!H27/1,0)</f>
        <v>1747587084</v>
      </c>
    </row>
    <row r="30" spans="2:10" ht="24.75" customHeight="1">
      <c r="B30" s="18"/>
      <c r="C30" s="19"/>
      <c r="D30" s="236" t="s">
        <v>112</v>
      </c>
      <c r="E30" s="236"/>
      <c r="F30" s="20"/>
      <c r="G30" s="107"/>
      <c r="H30" s="108">
        <f>ROUNDDOWN('PL（円）'!H28/1,0)</f>
        <v>3250725290</v>
      </c>
      <c r="J30" s="9"/>
    </row>
    <row r="33" spans="8:8">
      <c r="H33" s="109"/>
    </row>
  </sheetData>
  <mergeCells count="27">
    <mergeCell ref="D30:E30"/>
    <mergeCell ref="D22:E22"/>
    <mergeCell ref="C23:E23"/>
    <mergeCell ref="D24:E24"/>
    <mergeCell ref="C25:E25"/>
    <mergeCell ref="D26:E26"/>
    <mergeCell ref="D27:E27"/>
    <mergeCell ref="D28:E28"/>
    <mergeCell ref="D29:E29"/>
    <mergeCell ref="D21:E21"/>
    <mergeCell ref="D10:E10"/>
    <mergeCell ref="D11:E11"/>
    <mergeCell ref="D12:E12"/>
    <mergeCell ref="D13:E13"/>
    <mergeCell ref="C14:E14"/>
    <mergeCell ref="D15:E15"/>
    <mergeCell ref="C16:E16"/>
    <mergeCell ref="D17:E17"/>
    <mergeCell ref="D18:E18"/>
    <mergeCell ref="D19:E19"/>
    <mergeCell ref="C20:E20"/>
    <mergeCell ref="D9:E9"/>
    <mergeCell ref="B5:F5"/>
    <mergeCell ref="G5:H5"/>
    <mergeCell ref="C6:E6"/>
    <mergeCell ref="C7:E7"/>
    <mergeCell ref="D8:E8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BD20-C7AF-4280-B578-A2B147745169}">
  <sheetPr>
    <tabColor theme="0" tint="-0.34998626667073579"/>
    <pageSetUpPr fitToPage="1"/>
  </sheetPr>
  <dimension ref="B1:I28"/>
  <sheetViews>
    <sheetView showGridLines="0" view="pageBreakPreview" zoomScaleNormal="75" zoomScaleSheetLayoutView="100" workbookViewId="0">
      <pane ySplit="4" topLeftCell="A5" activePane="bottomLeft" state="frozen"/>
      <selection activeCell="C1" sqref="C1"/>
      <selection pane="bottomLeft" activeCell="C1" sqref="C1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22.625" style="96" customWidth="1"/>
    <col min="10" max="10" width="18" style="4" customWidth="1"/>
    <col min="11" max="16384" width="9" style="4"/>
  </cols>
  <sheetData>
    <row r="1" spans="2:9" ht="21" customHeight="1"/>
    <row r="2" spans="2:9" s="7" customFormat="1" ht="21">
      <c r="B2" s="2" t="s">
        <v>115</v>
      </c>
      <c r="C2" s="5"/>
      <c r="D2" s="5"/>
      <c r="E2" s="5"/>
      <c r="F2" s="5"/>
      <c r="G2" s="6"/>
      <c r="H2" s="6"/>
      <c r="I2" s="97"/>
    </row>
    <row r="3" spans="2:9" s="7" customFormat="1" ht="17.25" customHeight="1">
      <c r="B3" s="8" t="s">
        <v>154</v>
      </c>
      <c r="C3" s="5"/>
      <c r="D3" s="5"/>
      <c r="E3" s="5"/>
      <c r="F3" s="5"/>
      <c r="G3" s="6"/>
      <c r="H3" s="6"/>
      <c r="I3" s="97"/>
    </row>
    <row r="4" spans="2:9" ht="17.25" customHeight="1">
      <c r="B4" s="35" t="s">
        <v>3</v>
      </c>
      <c r="C4" s="12"/>
      <c r="D4" s="12"/>
      <c r="E4" s="12"/>
      <c r="F4" s="12"/>
      <c r="G4" s="13"/>
      <c r="H4" s="13"/>
      <c r="I4" s="99" t="s">
        <v>116</v>
      </c>
    </row>
    <row r="5" spans="2:9" ht="17.25" customHeight="1">
      <c r="B5" s="35"/>
      <c r="C5" s="12"/>
      <c r="D5" s="12"/>
      <c r="E5" s="12"/>
      <c r="F5" s="12"/>
      <c r="G5" s="13"/>
      <c r="H5" s="13"/>
      <c r="I5" s="99"/>
    </row>
    <row r="6" spans="2:9" s="12" customFormat="1" ht="24.75" customHeight="1">
      <c r="C6" s="217" t="s">
        <v>131</v>
      </c>
      <c r="D6" s="217"/>
      <c r="E6" s="217"/>
      <c r="G6" s="36"/>
      <c r="H6" s="36"/>
      <c r="I6" s="98"/>
    </row>
    <row r="7" spans="2:9" s="12" customFormat="1" ht="24.75" customHeight="1">
      <c r="C7" s="46"/>
      <c r="D7" s="217" t="s">
        <v>43</v>
      </c>
      <c r="E7" s="217"/>
      <c r="G7" s="36" t="s">
        <v>126</v>
      </c>
      <c r="H7" s="36"/>
      <c r="I7" s="110">
        <f>ROUNDDOWN('SS（円）'!I7/1000,0)</f>
        <v>99000</v>
      </c>
    </row>
    <row r="8" spans="2:9" s="12" customFormat="1" ht="24.75" customHeight="1">
      <c r="C8" s="46"/>
      <c r="D8" s="217"/>
      <c r="E8" s="217"/>
      <c r="G8" s="36" t="s">
        <v>132</v>
      </c>
      <c r="H8" s="36"/>
      <c r="I8" s="111">
        <f>ROUNDDOWN('SS（円）'!I8/1000,0)</f>
        <v>99000</v>
      </c>
    </row>
    <row r="9" spans="2:9" s="12" customFormat="1" ht="24.75" customHeight="1">
      <c r="C9" s="46"/>
      <c r="D9" s="217" t="s">
        <v>133</v>
      </c>
      <c r="E9" s="217"/>
      <c r="G9" s="36"/>
      <c r="H9" s="36"/>
      <c r="I9" s="98"/>
    </row>
    <row r="10" spans="2:9" s="12" customFormat="1" ht="24.75" customHeight="1">
      <c r="C10" s="46"/>
      <c r="D10" s="217" t="s">
        <v>134</v>
      </c>
      <c r="E10" s="217"/>
      <c r="G10" s="36" t="s">
        <v>126</v>
      </c>
      <c r="H10" s="36"/>
      <c r="I10" s="110">
        <f>ROUNDDOWN('SS（円）'!I10/1000,0)</f>
        <v>24750</v>
      </c>
    </row>
    <row r="11" spans="2:9" s="12" customFormat="1" ht="24.75" customHeight="1">
      <c r="C11" s="46"/>
      <c r="D11" s="217"/>
      <c r="E11" s="217"/>
      <c r="G11" s="36" t="s">
        <v>130</v>
      </c>
      <c r="H11" s="36"/>
      <c r="I11" s="111">
        <f>ROUNDDOWN('SS（円）'!I11/1000,0)</f>
        <v>24750</v>
      </c>
    </row>
    <row r="12" spans="2:9" s="12" customFormat="1" ht="24.75" customHeight="1">
      <c r="C12" s="46"/>
      <c r="D12" s="217" t="s">
        <v>135</v>
      </c>
      <c r="E12" s="217"/>
      <c r="G12" s="36"/>
      <c r="H12" s="36"/>
      <c r="I12" s="98"/>
    </row>
    <row r="13" spans="2:9" s="12" customFormat="1" ht="24.75" customHeight="1">
      <c r="C13" s="46"/>
      <c r="D13" s="217" t="s">
        <v>136</v>
      </c>
      <c r="E13" s="217"/>
      <c r="G13" s="36" t="s">
        <v>126</v>
      </c>
      <c r="H13" s="36"/>
      <c r="I13" s="110">
        <f>ROUNDDOWN('SS（円）'!I13/1000,0)</f>
        <v>11901432</v>
      </c>
    </row>
    <row r="14" spans="2:9" s="12" customFormat="1" ht="24.75" customHeight="1">
      <c r="C14" s="46"/>
      <c r="D14" s="217"/>
      <c r="E14" s="217"/>
      <c r="G14" s="36" t="s">
        <v>147</v>
      </c>
      <c r="H14" s="36"/>
      <c r="I14" s="110">
        <f>ROUNDDOWN('SS（円）'!I14/1000,0)</f>
        <v>3250725</v>
      </c>
    </row>
    <row r="15" spans="2:9" s="12" customFormat="1" ht="24.75" customHeight="1">
      <c r="C15" s="46"/>
      <c r="D15" s="113"/>
      <c r="E15" s="113"/>
      <c r="G15" s="36" t="s">
        <v>155</v>
      </c>
      <c r="H15" s="36"/>
      <c r="I15" s="110">
        <f>ROUNDDOWN('SS（円）'!I15/1000,0)</f>
        <v>-1296980</v>
      </c>
    </row>
    <row r="16" spans="2:9" s="12" customFormat="1" ht="24.75" customHeight="1">
      <c r="C16" s="46"/>
      <c r="D16" s="217"/>
      <c r="E16" s="217"/>
      <c r="G16" s="36" t="s">
        <v>130</v>
      </c>
      <c r="H16" s="36"/>
      <c r="I16" s="111">
        <f>ROUNDDOWN('SS（円）'!I16/1000,0)</f>
        <v>13855178</v>
      </c>
    </row>
    <row r="17" spans="3:9" s="12" customFormat="1" ht="24.75" customHeight="1">
      <c r="C17" s="46"/>
      <c r="D17" s="217" t="s">
        <v>138</v>
      </c>
      <c r="E17" s="217"/>
      <c r="G17" s="36" t="s">
        <v>126</v>
      </c>
      <c r="H17" s="36"/>
      <c r="I17" s="110">
        <f>ROUNDDOWN('SS（円）'!I17/1000,0)</f>
        <v>11926182</v>
      </c>
    </row>
    <row r="18" spans="3:9" s="12" customFormat="1" ht="24.75" customHeight="1">
      <c r="C18" s="46"/>
      <c r="D18" s="217"/>
      <c r="E18" s="217"/>
      <c r="G18" s="36" t="s">
        <v>147</v>
      </c>
      <c r="H18" s="36"/>
      <c r="I18" s="110">
        <f>ROUNDDOWN('SS（円）'!I18/1000,0)</f>
        <v>1953745</v>
      </c>
    </row>
    <row r="19" spans="3:9" s="12" customFormat="1" ht="24.75" customHeight="1">
      <c r="C19" s="46"/>
      <c r="D19" s="217"/>
      <c r="E19" s="217"/>
      <c r="G19" s="36" t="s">
        <v>130</v>
      </c>
      <c r="H19" s="36"/>
      <c r="I19" s="111">
        <f>ROUNDDOWN('SS（円）'!I19/1000,0)</f>
        <v>13879928</v>
      </c>
    </row>
    <row r="20" spans="3:9" s="12" customFormat="1" ht="24.75" customHeight="1">
      <c r="C20" s="46"/>
      <c r="D20" s="217" t="s">
        <v>139</v>
      </c>
      <c r="E20" s="217"/>
      <c r="G20" s="36" t="s">
        <v>126</v>
      </c>
      <c r="H20" s="36"/>
      <c r="I20" s="110">
        <f>ROUNDDOWN('SS（円）'!I20/1000,0)</f>
        <v>12025182</v>
      </c>
    </row>
    <row r="21" spans="3:9" s="12" customFormat="1" ht="24.75" customHeight="1">
      <c r="C21" s="46"/>
      <c r="D21" s="217"/>
      <c r="E21" s="217"/>
      <c r="G21" s="36" t="s">
        <v>127</v>
      </c>
      <c r="H21" s="36"/>
      <c r="I21" s="110">
        <f>ROUNDDOWN('SS（円）'!I21/1000,0)</f>
        <v>1953745</v>
      </c>
    </row>
    <row r="22" spans="3:9" s="12" customFormat="1" ht="24.75" customHeight="1">
      <c r="C22" s="46"/>
      <c r="D22" s="217"/>
      <c r="E22" s="217"/>
      <c r="G22" s="36" t="s">
        <v>130</v>
      </c>
      <c r="H22" s="36"/>
      <c r="I22" s="111">
        <f>ROUNDDOWN('SS（円）'!I22/1000,0)</f>
        <v>13978928</v>
      </c>
    </row>
    <row r="23" spans="3:9" s="12" customFormat="1" ht="24.75" customHeight="1">
      <c r="C23" s="221" t="s">
        <v>140</v>
      </c>
      <c r="D23" s="221"/>
      <c r="E23" s="221"/>
      <c r="G23" s="36" t="s">
        <v>126</v>
      </c>
      <c r="H23" s="36"/>
      <c r="I23" s="110">
        <f>ROUNDDOWN('SS（円）'!I23/1000,0)</f>
        <v>12025182</v>
      </c>
    </row>
    <row r="24" spans="3:9" s="12" customFormat="1" ht="24.75" customHeight="1">
      <c r="D24" s="217"/>
      <c r="E24" s="217"/>
      <c r="G24" s="36" t="s">
        <v>127</v>
      </c>
      <c r="H24" s="36"/>
      <c r="I24" s="110">
        <f>ROUNDDOWN('SS（円）'!I24/1000,0)</f>
        <v>1953745</v>
      </c>
    </row>
    <row r="25" spans="3:9" s="12" customFormat="1" ht="24.75" customHeight="1">
      <c r="D25" s="217"/>
      <c r="E25" s="217"/>
      <c r="G25" s="36" t="s">
        <v>130</v>
      </c>
      <c r="H25" s="36"/>
      <c r="I25" s="112">
        <f>ROUNDDOWN('SS（円）'!I25/1000,0)</f>
        <v>13978928</v>
      </c>
    </row>
    <row r="28" spans="3:9">
      <c r="I28" s="109"/>
    </row>
  </sheetData>
  <mergeCells count="19">
    <mergeCell ref="D18:E18"/>
    <mergeCell ref="C6:E6"/>
    <mergeCell ref="D7:E7"/>
    <mergeCell ref="D8:E8"/>
    <mergeCell ref="D9:E9"/>
    <mergeCell ref="D10:E10"/>
    <mergeCell ref="D11:E11"/>
    <mergeCell ref="D12:E12"/>
    <mergeCell ref="D13:E13"/>
    <mergeCell ref="D14:E14"/>
    <mergeCell ref="D16:E16"/>
    <mergeCell ref="D17:E17"/>
    <mergeCell ref="D25:E25"/>
    <mergeCell ref="D19:E19"/>
    <mergeCell ref="D20:E20"/>
    <mergeCell ref="D21:E21"/>
    <mergeCell ref="D22:E22"/>
    <mergeCell ref="C23:E23"/>
    <mergeCell ref="D24:E24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4" orientation="portrait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327B-28F8-4FA9-ADF2-E77D81D7D058}">
  <sheetPr>
    <tabColor theme="0" tint="-0.34998626667073579"/>
    <pageSetUpPr fitToPage="1"/>
  </sheetPr>
  <dimension ref="B1:I28"/>
  <sheetViews>
    <sheetView showGridLines="0" view="pageBreakPreview" topLeftCell="C1" zoomScaleNormal="75" zoomScaleSheetLayoutView="100" workbookViewId="0">
      <pane ySplit="4" topLeftCell="A5" activePane="bottomLeft" state="frozen"/>
      <selection activeCell="C1" sqref="C1"/>
      <selection pane="bottomLeft" activeCell="C1" sqref="C1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22.625" style="96" customWidth="1"/>
    <col min="10" max="10" width="18" style="4" customWidth="1"/>
    <col min="11" max="16384" width="9" style="4"/>
  </cols>
  <sheetData>
    <row r="1" spans="2:9" ht="21" customHeight="1"/>
    <row r="2" spans="2:9" s="7" customFormat="1" ht="21">
      <c r="B2" s="2" t="s">
        <v>115</v>
      </c>
      <c r="C2" s="5"/>
      <c r="D2" s="5"/>
      <c r="E2" s="5"/>
      <c r="F2" s="5"/>
      <c r="G2" s="6"/>
      <c r="H2" s="6"/>
      <c r="I2" s="97"/>
    </row>
    <row r="3" spans="2:9" s="7" customFormat="1" ht="17.25" customHeight="1">
      <c r="B3" s="8" t="str">
        <f>'SS（千円）'!B3</f>
        <v>(自 令和７年１月１日　至 令和７年12月31日)</v>
      </c>
      <c r="C3" s="5"/>
      <c r="D3" s="5"/>
      <c r="E3" s="5"/>
      <c r="F3" s="5"/>
      <c r="G3" s="6"/>
      <c r="H3" s="6"/>
      <c r="I3" s="97"/>
    </row>
    <row r="4" spans="2:9" ht="17.25" customHeight="1">
      <c r="B4" s="35" t="s">
        <v>3</v>
      </c>
      <c r="C4" s="12"/>
      <c r="D4" s="12"/>
      <c r="E4" s="12"/>
      <c r="F4" s="12"/>
      <c r="G4" s="13"/>
      <c r="H4" s="13"/>
      <c r="I4" s="99" t="s">
        <v>114</v>
      </c>
    </row>
    <row r="5" spans="2:9" ht="17.25" customHeight="1">
      <c r="B5" s="35"/>
      <c r="C5" s="12"/>
      <c r="D5" s="12"/>
      <c r="E5" s="12"/>
      <c r="F5" s="12"/>
      <c r="G5" s="13"/>
      <c r="H5" s="13"/>
      <c r="I5" s="99"/>
    </row>
    <row r="6" spans="2:9" s="12" customFormat="1" ht="24.75" customHeight="1">
      <c r="C6" s="217" t="s">
        <v>131</v>
      </c>
      <c r="D6" s="217"/>
      <c r="E6" s="217"/>
      <c r="G6" s="36"/>
      <c r="H6" s="36"/>
      <c r="I6" s="98"/>
    </row>
    <row r="7" spans="2:9" s="12" customFormat="1" ht="24.75" customHeight="1">
      <c r="C7" s="46"/>
      <c r="D7" s="217" t="s">
        <v>43</v>
      </c>
      <c r="E7" s="217"/>
      <c r="G7" s="36" t="s">
        <v>126</v>
      </c>
      <c r="H7" s="36"/>
      <c r="I7" s="110">
        <v>99000000</v>
      </c>
    </row>
    <row r="8" spans="2:9" s="12" customFormat="1" ht="24.75" customHeight="1">
      <c r="C8" s="46"/>
      <c r="D8" s="217"/>
      <c r="E8" s="217"/>
      <c r="G8" s="36" t="s">
        <v>132</v>
      </c>
      <c r="H8" s="36"/>
      <c r="I8" s="111">
        <f>SUM(I7:I7)</f>
        <v>99000000</v>
      </c>
    </row>
    <row r="9" spans="2:9" s="12" customFormat="1" ht="24.75" customHeight="1">
      <c r="C9" s="46"/>
      <c r="D9" s="217" t="s">
        <v>133</v>
      </c>
      <c r="E9" s="217"/>
      <c r="G9" s="36"/>
      <c r="H9" s="36"/>
      <c r="I9" s="98"/>
    </row>
    <row r="10" spans="2:9" s="12" customFormat="1" ht="24.75" customHeight="1">
      <c r="C10" s="46"/>
      <c r="D10" s="217" t="s">
        <v>134</v>
      </c>
      <c r="E10" s="217"/>
      <c r="G10" s="36" t="s">
        <v>126</v>
      </c>
      <c r="H10" s="36"/>
      <c r="I10" s="110">
        <f>'SS（円）横型'!F10</f>
        <v>24750000</v>
      </c>
    </row>
    <row r="11" spans="2:9" s="12" customFormat="1" ht="24.75" customHeight="1">
      <c r="C11" s="46"/>
      <c r="D11" s="217"/>
      <c r="E11" s="217"/>
      <c r="G11" s="36" t="s">
        <v>130</v>
      </c>
      <c r="H11" s="36"/>
      <c r="I11" s="111">
        <f>SUM(I10:I10)</f>
        <v>24750000</v>
      </c>
    </row>
    <row r="12" spans="2:9" s="12" customFormat="1" ht="24.75" customHeight="1">
      <c r="C12" s="46"/>
      <c r="D12" s="217" t="s">
        <v>135</v>
      </c>
      <c r="E12" s="217"/>
      <c r="G12" s="36"/>
      <c r="H12" s="36"/>
      <c r="I12" s="98"/>
    </row>
    <row r="13" spans="2:9" s="12" customFormat="1" ht="24.75" customHeight="1">
      <c r="C13" s="46"/>
      <c r="D13" s="217" t="s">
        <v>136</v>
      </c>
      <c r="E13" s="217"/>
      <c r="G13" s="36" t="s">
        <v>126</v>
      </c>
      <c r="H13" s="36"/>
      <c r="I13" s="110">
        <f>'SS（円）横型'!G10</f>
        <v>11901432973</v>
      </c>
    </row>
    <row r="14" spans="2:9" s="12" customFormat="1" ht="24.75" customHeight="1">
      <c r="C14" s="46"/>
      <c r="D14" s="217"/>
      <c r="E14" s="217"/>
      <c r="G14" s="36" t="s">
        <v>137</v>
      </c>
      <c r="H14" s="36"/>
      <c r="I14" s="110">
        <f>'PL（円）'!H28</f>
        <v>3250725290</v>
      </c>
    </row>
    <row r="15" spans="2:9" s="12" customFormat="1" ht="24.75" customHeight="1">
      <c r="C15" s="46"/>
      <c r="D15" s="113"/>
      <c r="E15" s="113"/>
      <c r="G15" s="36" t="s">
        <v>155</v>
      </c>
      <c r="H15" s="36"/>
      <c r="I15" s="110">
        <f>'SS（円）横型'!G13</f>
        <v>-1296980000</v>
      </c>
    </row>
    <row r="16" spans="2:9" s="12" customFormat="1" ht="24.75" customHeight="1">
      <c r="C16" s="46"/>
      <c r="D16" s="217"/>
      <c r="E16" s="217"/>
      <c r="G16" s="36" t="s">
        <v>130</v>
      </c>
      <c r="H16" s="36"/>
      <c r="I16" s="111">
        <f>SUM(I13:I15)</f>
        <v>13855178263</v>
      </c>
    </row>
    <row r="17" spans="3:9" s="12" customFormat="1" ht="24.75" customHeight="1">
      <c r="C17" s="46"/>
      <c r="D17" s="217" t="s">
        <v>138</v>
      </c>
      <c r="E17" s="217"/>
      <c r="G17" s="36" t="s">
        <v>126</v>
      </c>
      <c r="H17" s="36"/>
      <c r="I17" s="110">
        <f>I10+I13</f>
        <v>11926182973</v>
      </c>
    </row>
    <row r="18" spans="3:9" s="12" customFormat="1" ht="24.75" customHeight="1">
      <c r="C18" s="46"/>
      <c r="D18" s="217"/>
      <c r="E18" s="217"/>
      <c r="G18" s="36" t="s">
        <v>137</v>
      </c>
      <c r="H18" s="36"/>
      <c r="I18" s="110">
        <f>'SS（円）横型'!H14</f>
        <v>1953745290</v>
      </c>
    </row>
    <row r="19" spans="3:9" s="12" customFormat="1" ht="24.75" customHeight="1">
      <c r="C19" s="46"/>
      <c r="D19" s="217"/>
      <c r="E19" s="217"/>
      <c r="G19" s="36" t="s">
        <v>130</v>
      </c>
      <c r="H19" s="36"/>
      <c r="I19" s="111">
        <f>SUM(I17:I18)</f>
        <v>13879928263</v>
      </c>
    </row>
    <row r="20" spans="3:9" s="12" customFormat="1" ht="24.75" customHeight="1">
      <c r="C20" s="46"/>
      <c r="D20" s="217" t="s">
        <v>139</v>
      </c>
      <c r="E20" s="217"/>
      <c r="G20" s="36" t="s">
        <v>126</v>
      </c>
      <c r="H20" s="36"/>
      <c r="I20" s="110">
        <f>I7+I17</f>
        <v>12025182973</v>
      </c>
    </row>
    <row r="21" spans="3:9" s="12" customFormat="1" ht="24.75" customHeight="1">
      <c r="C21" s="46"/>
      <c r="D21" s="217"/>
      <c r="E21" s="217"/>
      <c r="G21" s="36" t="s">
        <v>127</v>
      </c>
      <c r="H21" s="36"/>
      <c r="I21" s="110">
        <f>I18</f>
        <v>1953745290</v>
      </c>
    </row>
    <row r="22" spans="3:9" s="12" customFormat="1" ht="24.75" customHeight="1">
      <c r="C22" s="46"/>
      <c r="D22" s="217"/>
      <c r="E22" s="217"/>
      <c r="G22" s="36" t="s">
        <v>130</v>
      </c>
      <c r="H22" s="36"/>
      <c r="I22" s="111">
        <f>I20+I21</f>
        <v>13978928263</v>
      </c>
    </row>
    <row r="23" spans="3:9" s="12" customFormat="1" ht="24.75" customHeight="1">
      <c r="C23" s="221" t="s">
        <v>140</v>
      </c>
      <c r="D23" s="221"/>
      <c r="E23" s="221"/>
      <c r="G23" s="36" t="s">
        <v>126</v>
      </c>
      <c r="H23" s="36"/>
      <c r="I23" s="110">
        <f>I20</f>
        <v>12025182973</v>
      </c>
    </row>
    <row r="24" spans="3:9" s="12" customFormat="1" ht="24.75" customHeight="1">
      <c r="D24" s="217"/>
      <c r="E24" s="217"/>
      <c r="G24" s="36" t="s">
        <v>127</v>
      </c>
      <c r="H24" s="36"/>
      <c r="I24" s="110">
        <f>I21</f>
        <v>1953745290</v>
      </c>
    </row>
    <row r="25" spans="3:9" s="12" customFormat="1" ht="24.75" customHeight="1">
      <c r="D25" s="217"/>
      <c r="E25" s="217"/>
      <c r="G25" s="36" t="s">
        <v>130</v>
      </c>
      <c r="H25" s="36"/>
      <c r="I25" s="112">
        <f>I23+I24</f>
        <v>13978928263</v>
      </c>
    </row>
    <row r="28" spans="3:9">
      <c r="I28" s="109"/>
    </row>
  </sheetData>
  <mergeCells count="19">
    <mergeCell ref="D11:E11"/>
    <mergeCell ref="D7:E7"/>
    <mergeCell ref="D8:E8"/>
    <mergeCell ref="D9:E9"/>
    <mergeCell ref="D25:E25"/>
    <mergeCell ref="D24:E24"/>
    <mergeCell ref="C6:E6"/>
    <mergeCell ref="C23:E23"/>
    <mergeCell ref="D19:E19"/>
    <mergeCell ref="D20:E20"/>
    <mergeCell ref="D21:E21"/>
    <mergeCell ref="D22:E22"/>
    <mergeCell ref="D12:E12"/>
    <mergeCell ref="D13:E13"/>
    <mergeCell ref="D14:E14"/>
    <mergeCell ref="D16:E16"/>
    <mergeCell ref="D17:E17"/>
    <mergeCell ref="D18:E18"/>
    <mergeCell ref="D10:E10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4" orientation="portrait" blackAndWhite="1" r:id="rId1"/>
  <headerFooter alignWithMargins="0"/>
  <ignoredErrors>
    <ignoredError sqref="I2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FEA2954E5EAD4CBB02E447673E6B16" ma:contentTypeVersion="11" ma:contentTypeDescription="新しいドキュメントを作成します。" ma:contentTypeScope="" ma:versionID="8fbe8619616ccf65fc750101e295b746">
  <xsd:schema xmlns:xsd="http://www.w3.org/2001/XMLSchema" xmlns:xs="http://www.w3.org/2001/XMLSchema" xmlns:p="http://schemas.microsoft.com/office/2006/metadata/properties" xmlns:ns2="2db698ba-c919-40a9-9cc0-bbc08374c11f" xmlns:ns3="5e29f822-820b-4a1f-b550-9568b65f8d2a" targetNamespace="http://schemas.microsoft.com/office/2006/metadata/properties" ma:root="true" ma:fieldsID="5d6752630222306909770ce510b88db6" ns2:_="" ns3:_="">
    <xsd:import namespace="2db698ba-c919-40a9-9cc0-bbc08374c11f"/>
    <xsd:import namespace="5e29f822-820b-4a1f-b550-9568b65f8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698ba-c919-40a9-9cc0-bbc08374c1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4549db9-8f1a-4454-9440-aed11c480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9f822-820b-4a1f-b550-9568b65f8d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e5ab5c-2d31-409f-b916-7428fe6c4544}" ma:internalName="TaxCatchAll" ma:showField="CatchAllData" ma:web="5e29f822-820b-4a1f-b550-9568b65f8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9f822-820b-4a1f-b550-9568b65f8d2a" xsi:nil="true"/>
    <lcf76f155ced4ddcb4097134ff3c332f xmlns="2db698ba-c919-40a9-9cc0-bbc08374c11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523F7-73ED-402C-B861-62F57CEC1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698ba-c919-40a9-9cc0-bbc08374c11f"/>
    <ds:schemaRef ds:uri="5e29f822-820b-4a1f-b550-9568b65f8d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6F26A6-3091-4DBB-8251-DB8C95F00FA3}">
  <ds:schemaRefs>
    <ds:schemaRef ds:uri="http://purl.org/dc/terms/"/>
    <ds:schemaRef ds:uri="http://schemas.microsoft.com/office/2006/metadata/properties"/>
    <ds:schemaRef ds:uri="2db698ba-c919-40a9-9cc0-bbc08374c11f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e29f822-820b-4a1f-b550-9568b65f8d2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D99C9A-4BFE-46E0-98AC-E5D219786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表紙</vt:lpstr>
      <vt:lpstr>BS（千円）</vt:lpstr>
      <vt:lpstr>PL（千円）</vt:lpstr>
      <vt:lpstr>SS（千円）横型</vt:lpstr>
      <vt:lpstr>BS（円）</vt:lpstr>
      <vt:lpstr>PL（円）</vt:lpstr>
      <vt:lpstr>SS（円）横型</vt:lpstr>
      <vt:lpstr>期中平均株式数</vt:lpstr>
      <vt:lpstr>BS（円）銀行説明用</vt:lpstr>
      <vt:lpstr>PL（円）銀行説明用</vt:lpstr>
      <vt:lpstr>SS（千円）</vt:lpstr>
      <vt:lpstr>SS（円）</vt:lpstr>
      <vt:lpstr>'BS（円）'!Print_Area</vt:lpstr>
      <vt:lpstr>'BS（円）銀行説明用'!Print_Area</vt:lpstr>
      <vt:lpstr>'BS（千円）'!Print_Area</vt:lpstr>
      <vt:lpstr>'PL（円）'!Print_Area</vt:lpstr>
      <vt:lpstr>'PL（円）銀行説明用'!Print_Area</vt:lpstr>
      <vt:lpstr>'PL（千円）'!Print_Area</vt:lpstr>
      <vt:lpstr>'SS（円）'!Print_Area</vt:lpstr>
      <vt:lpstr>'SS（円）横型'!Print_Area</vt:lpstr>
      <vt:lpstr>'SS（千円）'!Print_Area</vt:lpstr>
      <vt:lpstr>'SS（千円）横型'!Print_Area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fanxing190</dc:creator>
  <cp:keywords/>
  <dc:description>http://financial.mook.to/</dc:description>
  <cp:lastModifiedBy>米 亨和</cp:lastModifiedBy>
  <cp:revision/>
  <cp:lastPrinted>2026-03-30T06:40:16Z</cp:lastPrinted>
  <dcterms:created xsi:type="dcterms:W3CDTF">2010-06-25T10:37:34Z</dcterms:created>
  <dcterms:modified xsi:type="dcterms:W3CDTF">2026-03-30T06:40:19Z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0x01010003FEA2954E5EAD4CBB02E447673E6B16</vt:lpwstr>
  </property>
  <property fmtid="{D5CDD505-2E9C-101B-9397-08002B2CF9AE}" pid="3" name="MediaServiceImageTags">
    <vt:lpwstr/>
  </property>
</Properties>
</file>